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mil\Downloads\"/>
    </mc:Choice>
  </mc:AlternateContent>
  <xr:revisionPtr revIDLastSave="0" documentId="11_0D33DBB25E17E60A108F6F4FA9172814F40BEC5A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shboard" sheetId="1" r:id="rId1"/>
    <sheet name="Motor v3" sheetId="2" r:id="rId2"/>
    <sheet name="Cenários" sheetId="3" r:id="rId3"/>
    <sheet name="Exportação" sheetId="4" r:id="rId4"/>
    <sheet name="Proposta" sheetId="5" r:id="rId5"/>
    <sheet name="Catálogo Laszlo" sheetId="6" r:id="rId6"/>
    <sheet name="Base cadastro MP" sheetId="7" r:id="rId7"/>
    <sheet name="Check_Retirada" sheetId="8" r:id="rId8"/>
    <sheet name="Parâmetros v3" sheetId="9" r:id="rId9"/>
    <sheet name="Regras v3" sheetId="10" r:id="rId10"/>
  </sheets>
  <definedNames>
    <definedName name="_xlnm._FilterDatabase" localSheetId="6" hidden="1">'Base cadastro MP'!$A$1:$G$2584</definedName>
    <definedName name="_xlnm._FilterDatabase" localSheetId="5" hidden="1">'Catálogo Laszlo'!$A$1:$I$590</definedName>
    <definedName name="_xlnm.Print_Area" localSheetId="4">Proposta!$A$1:$D$37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5" l="1"/>
  <c r="B10" i="5"/>
  <c r="B9" i="5"/>
  <c r="B7" i="5"/>
  <c r="B11" i="4"/>
  <c r="E11" i="3"/>
  <c r="D11" i="3"/>
  <c r="C11" i="3"/>
  <c r="B11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B3" i="3"/>
  <c r="B35" i="2"/>
  <c r="B8" i="5" s="1"/>
  <c r="B34" i="2"/>
  <c r="B25" i="2"/>
  <c r="B23" i="2"/>
  <c r="B22" i="2"/>
  <c r="B57" i="2" s="1"/>
  <c r="B17" i="2"/>
  <c r="B55" i="2" s="1"/>
  <c r="B16" i="2"/>
  <c r="B15" i="2"/>
  <c r="B42" i="2" s="1"/>
  <c r="B14" i="2"/>
  <c r="C14" i="3" s="1"/>
  <c r="B13" i="2"/>
  <c r="C17" i="3" l="1"/>
  <c r="E16" i="3"/>
  <c r="B16" i="3"/>
  <c r="B20" i="5"/>
  <c r="D16" i="3"/>
  <c r="C16" i="3"/>
  <c r="B47" i="2"/>
  <c r="B45" i="2"/>
  <c r="B30" i="5" s="1"/>
  <c r="E17" i="3"/>
  <c r="D17" i="3"/>
  <c r="B17" i="3"/>
  <c r="B14" i="3"/>
  <c r="D14" i="3"/>
  <c r="D15" i="3"/>
  <c r="E14" i="3"/>
  <c r="C12" i="3"/>
  <c r="D12" i="3"/>
  <c r="C10" i="3"/>
  <c r="C13" i="3"/>
  <c r="D10" i="3"/>
  <c r="D13" i="3"/>
  <c r="B24" i="2"/>
  <c r="B12" i="3"/>
  <c r="B15" i="3"/>
  <c r="C15" i="3"/>
  <c r="E12" i="3"/>
  <c r="E15" i="3"/>
  <c r="B10" i="3"/>
  <c r="B13" i="3"/>
  <c r="E10" i="3"/>
  <c r="E13" i="3"/>
  <c r="B31" i="2" l="1"/>
  <c r="B36" i="2" s="1"/>
  <c r="B13" i="4"/>
  <c r="B26" i="2"/>
  <c r="B12" i="4"/>
  <c r="B56" i="2"/>
  <c r="B15" i="4" l="1"/>
  <c r="B17" i="4" s="1"/>
  <c r="B14" i="4"/>
  <c r="B16" i="4" s="1"/>
  <c r="B37" i="2"/>
  <c r="B38" i="2"/>
  <c r="B46" i="2" l="1"/>
  <c r="B14" i="5"/>
  <c r="B43" i="2"/>
  <c r="B48" i="2"/>
  <c r="B49" i="2" l="1"/>
  <c r="B22" i="5" s="1"/>
  <c r="B50" i="2"/>
  <c r="B23" i="5" s="1"/>
  <c r="B21" i="5"/>
  <c r="B28" i="5"/>
  <c r="B44" i="2"/>
  <c r="B51" i="2"/>
  <c r="B24" i="5" s="1"/>
  <c r="B16" i="5"/>
  <c r="B58" i="2" l="1"/>
  <c r="B29" i="5"/>
</calcChain>
</file>

<file path=xl/sharedStrings.xml><?xml version="1.0" encoding="utf-8"?>
<sst xmlns="http://schemas.openxmlformats.org/spreadsheetml/2006/main" count="11650" uniqueCount="3661">
  <si>
    <t>DOMME × LASZLO</t>
  </si>
  <si>
    <t>Motor de Precificação v3 — Perfeição Operacional</t>
  </si>
  <si>
    <t>📊  KPIs DO ECOSSISTEMA</t>
  </si>
  <si>
    <t>Total SKUs no Catálogo</t>
  </si>
  <si>
    <t>SKUs Disponíveis para White Label</t>
  </si>
  <si>
    <t>SKUs em Risco de Estoque</t>
  </si>
  <si>
    <t>SKUs em Retirada de Linha</t>
  </si>
  <si>
    <t>Matérias-Primas Cadastradas</t>
  </si>
  <si>
    <t>Ticket Médio Geral Laszlo (R$)</t>
  </si>
  <si>
    <t>Fee DOMME por Projeto (R$)</t>
  </si>
  <si>
    <t>🗂️  NAVEGAÇÃO DAS ABAS</t>
  </si>
  <si>
    <t>➤ Motor v3</t>
  </si>
  <si>
    <t>Simulador principal — insira SKU, lote e preço</t>
  </si>
  <si>
    <t>➤ Cenários</t>
  </si>
  <si>
    <t>Comparativo de escala (Tier 1 vs Tier 2 vs Tier 3)</t>
  </si>
  <si>
    <t>➤ Exportação</t>
  </si>
  <si>
    <t>Módulo internacional — USD/EUR com markup 8x</t>
  </si>
  <si>
    <t>➤ Proposta</t>
  </si>
  <si>
    <t>Layout PDF-ready para envio ao cliente</t>
  </si>
  <si>
    <t>➤ Catálogo Laszlo</t>
  </si>
  <si>
    <t>589 SKUs com status WL e benchmarks</t>
  </si>
  <si>
    <t>➤ Base cadastro MP</t>
  </si>
  <si>
    <t>2583 matérias-primas com custo real</t>
  </si>
  <si>
    <t>➤ Check_Retirada</t>
  </si>
  <si>
    <t>48 produtos em descontinuação</t>
  </si>
  <si>
    <t>➤ Parâmetros v3</t>
  </si>
  <si>
    <t>Margens, tiers, fees e regras editáveis</t>
  </si>
  <si>
    <t>➤ Regras v3</t>
  </si>
  <si>
    <t>Documentação completa das regras de negócio</t>
  </si>
  <si>
    <t>⚠️  NOTAS IMPORTANTES</t>
  </si>
  <si>
    <t xml:space="preserve">  1. Desconto de 15% no ROI é conservador. Em marketplaces (ML, Shopee), taxas chegam a 18-22%.</t>
  </si>
  <si>
    <t xml:space="preserve">  2. Templates técnicos: verso (dados legais) é IMUTÁVEL. Design exclusivo é serviço à parte.</t>
  </si>
  <si>
    <t xml:space="preserve">  3. Foco regulatório: Aromas Naturais / Alimentos para rapidez de mercado.</t>
  </si>
  <si>
    <t xml:space="preserve">  4. Células AZUIS são editáveis. Células PRETAS são fórmulas — não altere.</t>
  </si>
  <si>
    <t>DOMME × LASZLO — SIMULADOR v3</t>
  </si>
  <si>
    <t>Precificação por Lote · Full-Service · Métricas de Sucesso</t>
  </si>
  <si>
    <t>▸  ENTRADA DO CLIENTE</t>
  </si>
  <si>
    <t>SKU (selecione do catálogo)</t>
  </si>
  <si>
    <t>ABS ALGAS-MARINHAS 10 GT FRANCA 10ML</t>
  </si>
  <si>
    <t>Menu suspenso ↓</t>
  </si>
  <si>
    <t>Volume por Lote (unidades)</t>
  </si>
  <si>
    <t>Qtd produzida de uma só vez</t>
  </si>
  <si>
    <t>Preço de Venda ao Consumidor (R$)</t>
  </si>
  <si>
    <t>Se vazio, usa Varejo Laszlo</t>
  </si>
  <si>
    <t>Mercado</t>
  </si>
  <si>
    <t>Brasil</t>
  </si>
  <si>
    <t>Brasil / Internacional</t>
  </si>
  <si>
    <t>▸  DADOS DO PRODUTO (automático via catálogo)</t>
  </si>
  <si>
    <t>Código Laszlo</t>
  </si>
  <si>
    <t>PROCV automático</t>
  </si>
  <si>
    <t>CVU Matéria-Prima (R$)</t>
  </si>
  <si>
    <t>Custo unitário real da fábrica</t>
  </si>
  <si>
    <t>Ticket Médio Vendas Laszlo (R$)</t>
  </si>
  <si>
    <t>Benchmark de mercado</t>
  </si>
  <si>
    <t>Volume do Frasco (ml)</t>
  </si>
  <si>
    <t>Extraído do nome</t>
  </si>
  <si>
    <t>Status WL do Produto</t>
  </si>
  <si>
    <t>Verifica disponibilidade</t>
  </si>
  <si>
    <t>▸  INTELIGÊNCIA DE CUSTOS (Full-Service)</t>
  </si>
  <si>
    <t>Kit de Envase Base (frasco+tampa+got.) R$</t>
  </si>
  <si>
    <t>Custo base unitário do kit</t>
  </si>
  <si>
    <t>Fator de Escala Insumos</t>
  </si>
  <si>
    <t>Lote ≤100: 2x | &gt;100: 1x</t>
  </si>
  <si>
    <t>Custo Envase Ajustado (R$)</t>
  </si>
  <si>
    <t>Kit × Fator de Escala</t>
  </si>
  <si>
    <t>CVU Total (MP + Envase)</t>
  </si>
  <si>
    <t>Fee DOMME Rateado (R$1.500 ÷ Lote)</t>
  </si>
  <si>
    <t>Custo Total Unitário c/ Fee (R$)</t>
  </si>
  <si>
    <t>▸  DECOMPOSIÇÃO DE PREÇO</t>
  </si>
  <si>
    <t>MIL — Margem Industrial Laszlo</t>
  </si>
  <si>
    <t>Mínimo 20% MC garantido</t>
  </si>
  <si>
    <t>PI Laszlo (= CVU Total × (1+MIL))</t>
  </si>
  <si>
    <t>MD — Margem Comercial DOMME</t>
  </si>
  <si>
    <t>Selo Laszlo</t>
  </si>
  <si>
    <t>Markup de Volume (auto por lote)</t>
  </si>
  <si>
    <t>T1≤500:20% | T2≤2000:10% | T3&gt;2000:0%</t>
  </si>
  <si>
    <t>Tier Identificado</t>
  </si>
  <si>
    <t>PFC Unitário Brasil (R$)</t>
  </si>
  <si>
    <t>Preço Final ao Cliente DOMME</t>
  </si>
  <si>
    <t>PFC Export (se Internacional)</t>
  </si>
  <si>
    <t>Markup 8x para OEs no exterior</t>
  </si>
  <si>
    <t>PFC FINAL (R$)</t>
  </si>
  <si>
    <t>Auto: Brasil ou Export</t>
  </si>
  <si>
    <t>▸  MÉTRICAS DE SUCESSO DO CLIENTE</t>
  </si>
  <si>
    <t>Preço de Venda Efetivo (R$)</t>
  </si>
  <si>
    <t>Usa input ou Ticket Médio Laszlo</t>
  </si>
  <si>
    <t>Índice de Viabilidade (IV)</t>
  </si>
  <si>
    <t>PFC ÷ Varejo Laszlo (ideal &lt; 0.55)</t>
  </si>
  <si>
    <t>Status IV</t>
  </si>
  <si>
    <t>Alerta Competitividade</t>
  </si>
  <si>
    <t>Investimento Inicial Total (R$)</t>
  </si>
  <si>
    <t>(PFC × Lote) + Fee</t>
  </si>
  <si>
    <t>Preço Venda Líquido (−15% imp/frete)</t>
  </si>
  <si>
    <t>Margem Líquida por Unidade (R$)</t>
  </si>
  <si>
    <t>Break-Even Real (unidades)</t>
  </si>
  <si>
    <t>Unidades para cobrir investimento</t>
  </si>
  <si>
    <t>Lucro Líquido Projetado no Lote (R$)</t>
  </si>
  <si>
    <t>ROI Líquido Conservador (%)</t>
  </si>
  <si>
    <t>▸  ALERTAS AUTOMÁTICOS</t>
  </si>
  <si>
    <t>🚫 Produto em Retirada?</t>
  </si>
  <si>
    <t>🏭 Margem Laszlo ≥ 20%?</t>
  </si>
  <si>
    <t>📦 Escala de Insumos Ativa?</t>
  </si>
  <si>
    <t>💰 Viabilidade do Cliente</t>
  </si>
  <si>
    <t>ANÁLISE DE GANHO EM ESCALA — Simulador de Cenários</t>
  </si>
  <si>
    <t>"E se eu produzir mais?" — Comparativo automático de 3 cenários de lote</t>
  </si>
  <si>
    <t>Produto selecionado:</t>
  </si>
  <si>
    <t>Métrica</t>
  </si>
  <si>
    <t>Cenário 1: 50 un</t>
  </si>
  <si>
    <t>Cenário 2: 200 un</t>
  </si>
  <si>
    <t>Cenário 3: 500 un</t>
  </si>
  <si>
    <t>Cenário 4: 1.000 un</t>
  </si>
  <si>
    <t>Tier</t>
  </si>
  <si>
    <t>Markup Volume</t>
  </si>
  <si>
    <t>Fator Escala Envase</t>
  </si>
  <si>
    <t>Custo Envase Ajustado</t>
  </si>
  <si>
    <t>CVU Total (MP+Envase)</t>
  </si>
  <si>
    <t>Fee Rateado (R$)</t>
  </si>
  <si>
    <t>Custo Unit. c/ Fee (R$)</t>
  </si>
  <si>
    <t>PI Laszlo (R$)</t>
  </si>
  <si>
    <t>PFC Unitário (R$)</t>
  </si>
  <si>
    <t>Investimento Total (R$)</t>
  </si>
  <si>
    <t>Margem Líquida Unit. (R$)</t>
  </si>
  <si>
    <t>Lucro Líquido Lote (R$)</t>
  </si>
  <si>
    <t>💡 INSIGHT: Ao aumentar o lote, o Fee rateado cai drasticamente e o lucro por unidade sobe.</t>
  </si>
  <si>
    <t>MÓDULO DE EXPORTAÇÃO — WL Export</t>
  </si>
  <si>
    <t>▸  COTAÇÕES (editável)</t>
  </si>
  <si>
    <t>Cotação USD → BRL</t>
  </si>
  <si>
    <t>Edite conforme câmbio do dia</t>
  </si>
  <si>
    <t>Cotação EUR → BRL</t>
  </si>
  <si>
    <t>Frete Internacional Estimado (USD/un)</t>
  </si>
  <si>
    <t>Custo estimado por unidade</t>
  </si>
  <si>
    <t>▸  PRECIFICAÇÃO INTERNACIONAL</t>
  </si>
  <si>
    <t>Produto</t>
  </si>
  <si>
    <t>CVU Total (R$)</t>
  </si>
  <si>
    <t>PFC Export (Markup 8x, R$)</t>
  </si>
  <si>
    <t>Sem impostos internos (IPI/ICMS removidos)</t>
  </si>
  <si>
    <t>PFC Export (USD)</t>
  </si>
  <si>
    <t>PFC Export (EUR)</t>
  </si>
  <si>
    <t>PFC + Frete (USD)</t>
  </si>
  <si>
    <t>PFC + Frete (EUR)</t>
  </si>
  <si>
    <t>▸  NOTA: IPI e ICMS removidos. Produto segue como Aroma Natural/Alimento.</t>
  </si>
  <si>
    <t>PROPOSTA COMERCIAL — WHITE LABEL</t>
  </si>
  <si>
    <t>DOMME × Laszlo Aromaterapia</t>
  </si>
  <si>
    <t>────────────────────────────────────────────────────────────</t>
  </si>
  <si>
    <t>PRODUTO SELECIONADO</t>
  </si>
  <si>
    <t>Tier de Operação</t>
  </si>
  <si>
    <t>Volume do Lote</t>
  </si>
  <si>
    <t>INVESTIMENTO DO CLIENTE</t>
  </si>
  <si>
    <t>Preço Unitário (PFC)</t>
  </si>
  <si>
    <t>Fee de Estruturação DOMME</t>
  </si>
  <si>
    <t>One-time</t>
  </si>
  <si>
    <t>Investimento Total</t>
  </si>
  <si>
    <t>RETORNO PROJETADO (Conservador)</t>
  </si>
  <si>
    <t>Preço de Venda Sugerido</t>
  </si>
  <si>
    <t>Margem Líquida por Unidade</t>
  </si>
  <si>
    <t>Já descontado 15% (impostos+frete)</t>
  </si>
  <si>
    <t>Break-Even</t>
  </si>
  <si>
    <t>Lucro Líquido no Lote</t>
  </si>
  <si>
    <t>ROI Conservador</t>
  </si>
  <si>
    <t>STATUS DE VIABILIDADE</t>
  </si>
  <si>
    <t>Ideal &lt; 0.55</t>
  </si>
  <si>
    <t>Diagnóstico</t>
  </si>
  <si>
    <t>Competitividade</t>
  </si>
  <si>
    <t>O que está incluído: Produto Laszlo padrão + Rótulo do cliente + Selo Laszlo</t>
  </si>
  <si>
    <t>Template técnico (verso): dados legais imutáveis. Design exclusivo: serviço à parte.</t>
  </si>
  <si>
    <t>Foco regulatório: Aromas Naturais / Alimentos para rapidez de mercado.</t>
  </si>
  <si>
    <t>DOMME — Inteligência em White Label</t>
  </si>
  <si>
    <t>Nome do Produto</t>
  </si>
  <si>
    <t>Código</t>
  </si>
  <si>
    <t>CVU (R$)</t>
  </si>
  <si>
    <t>Ticket Médio (R$)</t>
  </si>
  <si>
    <t>Vendas 2024</t>
  </si>
  <si>
    <t>Ranking</t>
  </si>
  <si>
    <t>% MC Real</t>
  </si>
  <si>
    <t>Status WL</t>
  </si>
  <si>
    <t>Volume (ml)</t>
  </si>
  <si>
    <t>✓ Disponível</t>
  </si>
  <si>
    <t>ABS BAUNILHA 10 GT MADAGASCAR 10ML</t>
  </si>
  <si>
    <t>ABS BENJOIM-DO-SIAO GT LAOS 10ML</t>
  </si>
  <si>
    <t>ABS CACAU CHOCOLATE 30 GT FRANCA 10ML</t>
  </si>
  <si>
    <t>ABS CACAU GT EUA 5ML</t>
  </si>
  <si>
    <t>NOVO</t>
  </si>
  <si>
    <t>⚠ Risco Estoque</t>
  </si>
  <si>
    <t>ABS JASMIM-SAMBAC 10 GT INDIA 10ML</t>
  </si>
  <si>
    <t>ABS LADANO CISTO GT ESPANHA 5ML</t>
  </si>
  <si>
    <t>ABS LAVANDIM GROSSO GT FRANCA 10ML</t>
  </si>
  <si>
    <t>ABS MUSGO-DE-CARVALHO GT MACEDONIA 10ML</t>
  </si>
  <si>
    <t>ABS SEMPRE-VIVA-DAS-AREIAS 10 GT ESPANHA 10ML</t>
  </si>
  <si>
    <t>BL AMBAR-FOSSIL 5ML</t>
  </si>
  <si>
    <t>BL GLICINIA 5ML</t>
  </si>
  <si>
    <t>BL INCENSO 5ML</t>
  </si>
  <si>
    <t>BL LIRIO-DO-VALE 5ML</t>
  </si>
  <si>
    <t>BL MADRESSILVA 5ML</t>
  </si>
  <si>
    <t>BL MELISSA 5ML</t>
  </si>
  <si>
    <t>BL MUSK 5ML</t>
  </si>
  <si>
    <t>BL NEROLI 5ML</t>
  </si>
  <si>
    <t>BL PAU-ROSA 5ML</t>
  </si>
  <si>
    <t>BL ROSA-VERMELHA 5ML</t>
  </si>
  <si>
    <t>BL SANDALO 5ML</t>
  </si>
  <si>
    <t>BL VERBENA 5ML</t>
  </si>
  <si>
    <t>BL YUZU 5ML</t>
  </si>
  <si>
    <t>CB CREAM 100G</t>
  </si>
  <si>
    <t>CB SANDALORE 10ML</t>
  </si>
  <si>
    <t>CO ALOEGEL 1KG</t>
  </si>
  <si>
    <t>CO ALOEGEL 200G</t>
  </si>
  <si>
    <t>CO CRISTAL PEELING 240G</t>
  </si>
  <si>
    <t>CO GEL DE MAGNESIO CELUFIT 200G</t>
  </si>
  <si>
    <t>CO GEL DE MAGNESIO LEGS 200G</t>
  </si>
  <si>
    <t>CO GEL DE MAGNESIO MAGGEL 200G</t>
  </si>
  <si>
    <t>CO GEL DE MAGNESIO SPORT 200G</t>
  </si>
  <si>
    <t>CO GEL DE MAGNESIO TERMO 200G</t>
  </si>
  <si>
    <t>CO GEL DE ULTRA ABSORCAO 200G</t>
  </si>
  <si>
    <t>CO MANTEIGA KARITE 100G</t>
  </si>
  <si>
    <t>CO MANTEIGA MANGA 100G</t>
  </si>
  <si>
    <t>CO MANTEIGA MIX 100G</t>
  </si>
  <si>
    <t>CO MASCARA DE ARGILA BEGE KOMBUCHA E PEROLAS</t>
  </si>
  <si>
    <t>CO MASCARA DE ARGILA BRANCA E DOLOMITA 60G</t>
  </si>
  <si>
    <t>CO MASCARA DE ARGILA PRETA E TURMALINA 60G</t>
  </si>
  <si>
    <t>CO MASCARA DE ARGILA VERDE E ZEOLITA 60G</t>
  </si>
  <si>
    <t>CO MY CREAM PELES NORMAIS E OLEOSAS 200G</t>
  </si>
  <si>
    <t>CO MY CREAM PELES SECAS 1KG</t>
  </si>
  <si>
    <t>CO MY CREAM PELES SECAS 200G</t>
  </si>
  <si>
    <t>CO SERUM CLEOPATRA 30ML</t>
  </si>
  <si>
    <t>EXC ABS ACACIA-DOCE GT EGITO 5ML</t>
  </si>
  <si>
    <t>EXC ABS ACACIA-MIMOSA GT FRANCA 5ML</t>
  </si>
  <si>
    <t>EXC ABS ACAFRAO-VERDADEIRO 10 GT FRANCA 10ML</t>
  </si>
  <si>
    <t>EXC ABS ACAFRAO-VERDADEIRO GT FRANCA 5ML</t>
  </si>
  <si>
    <t>EXC ABS ACAFROA 10 GT INDIA 10ML</t>
  </si>
  <si>
    <t>EXC ABS CAPIM-BAUNILHA 10 GT FRANÇA 10ML</t>
  </si>
  <si>
    <t>EXC ABS CARDAMOMO GT GUATEMALA 10ML (GOURMET)</t>
  </si>
  <si>
    <t>EXC ABS CHAMPACA-AMARELA 10 GT INDIA 10ML</t>
  </si>
  <si>
    <t>EXC ABS CHAMPACA-ROSA 10 GT INDIA 10ML</t>
  </si>
  <si>
    <t>EXC ABS CRISÂNTEMO 10 GT INDIA 10ML</t>
  </si>
  <si>
    <t>EXC ABS FRANGIPANI 10 GT INDIA 10ML</t>
  </si>
  <si>
    <t>EXC ABS JASMIM REAL 10 GT INDIA 10ML</t>
  </si>
  <si>
    <t>EXC ABS JASMIM-REAL GT INDIA 5ML</t>
  </si>
  <si>
    <t>EXC ABS JUNQUILHO 10 GT FRANCA 10ML</t>
  </si>
  <si>
    <t>EXC ABS NARCISO 10 GT FRANCA 10ML</t>
  </si>
  <si>
    <t>EXC ABS ROSA-DA-BULGARIA 10 GT BULGARIA 10ML</t>
  </si>
  <si>
    <t>EXC ABS ROSA-DA-BULGARIA GT BULGARIA 5ML</t>
  </si>
  <si>
    <t>EXC ABS ROSA-VERMELHA 10 GT RUSSIA 10ML</t>
  </si>
  <si>
    <t>EXC ABS ROSA-VERMELHA GT RUSSIA 5ML</t>
  </si>
  <si>
    <t>EXC ABS TABACO-CHOCOLATE GT BRASIL 5ML</t>
  </si>
  <si>
    <t>EXC ABS TABACO-PRETO GT BULGARIA 5ML</t>
  </si>
  <si>
    <t>EXC ABS TUBEROSA 10 GT INDIA 10ML</t>
  </si>
  <si>
    <t>EXC ABS VIOLETA FOLHAS GT EGITO 5ML</t>
  </si>
  <si>
    <t>EXC ATTAR ERVA-MATE 5ML</t>
  </si>
  <si>
    <t>EXC OE ABETO-DO-CAUCASO GT EUA 5ML</t>
  </si>
  <si>
    <t>EXC OE ABETO-DOUGLAS GT CANADA 5ML</t>
  </si>
  <si>
    <t>EXC OE AIPO FOLHAS CO2 GT INDIA 10ML (GOURMET)</t>
  </si>
  <si>
    <t>EXC OE AIPO SEMENTES GT INDIA 10ML (GOURMET)</t>
  </si>
  <si>
    <t>EXC OE ALCARAVIA SEMENTES GT EGITO 10ML (GOURMET)</t>
  </si>
  <si>
    <t>EXC OE ALECRIM CO2-SE QT CANFORA GT ESPANHA</t>
  </si>
  <si>
    <t>EXC OE ALECRIM CO2-TO GT ESPANHA 5ML</t>
  </si>
  <si>
    <t>EXC OE ALECRIM-SELVAGEM GT AFRICA-DO-SUL 10ML</t>
  </si>
  <si>
    <t>EXC OE ALHO GT CHINA 5ML (GOURMET)</t>
  </si>
  <si>
    <t>EXC OE ANGELICA RAIZES GT INGLATERRA 5ML</t>
  </si>
  <si>
    <t>EXC OE ANGELICA SEMENTES GT INGLATERRA 5ML</t>
  </si>
  <si>
    <t>EXC OE ANIS-ESTRELADO GT CHINA 50ML</t>
  </si>
  <si>
    <t>EXC OE ARACA-ROSA FOLHAS GT BRASIL 5ML</t>
  </si>
  <si>
    <t>EXC OE ARACA-VERMELHO FOLHAS GT BRASIL 5ML</t>
  </si>
  <si>
    <t>EXC OE ARBUSTO-MENTA GT AUSTRALIA 10ML</t>
  </si>
  <si>
    <t>EXC OE ARINA GT MADAGASCAR 5ML</t>
  </si>
  <si>
    <t>EXC OE AROEIRA FOLHAS GT BRASIL 5ML</t>
  </si>
  <si>
    <t>EXC OE ARRUDA GT ESPANHA 5ML</t>
  </si>
  <si>
    <t>EXC OE ASSA-FETIDA 10 GT INDIA 10ML (GOURMET)</t>
  </si>
  <si>
    <t>EXC OE ASSA-FETIDA GT INDIA 5ML (GOURMET)</t>
  </si>
  <si>
    <t>EXC OE BAY RUM GT JAMAICA 5ML</t>
  </si>
  <si>
    <t>EXC OE CABREUVA GT BRASIL 10ML</t>
  </si>
  <si>
    <t>EXC OE CAMARA LANTANA GT MADAGASCAR 5ML</t>
  </si>
  <si>
    <t>EXC OE CAMOMILA-AZUL GT INGLATERRA 5ML (GOURMET)</t>
  </si>
  <si>
    <t>EXC OE CAMOMILA-DO-MARROCOS GT MARROCOS 5ML</t>
  </si>
  <si>
    <t>EXC OE CANANGA-DO-JAPAO CO2-SE GT INDIA 5ML</t>
  </si>
  <si>
    <t>EXC OE CANDEIA 70-80 GT BRASIL 10ML</t>
  </si>
  <si>
    <t>EXC OE CANDEIA EXTRA GT BRASIL 10ML</t>
  </si>
  <si>
    <t>EXC OE CANELA-DO-CEILAO CO2-SE 5ML (GOURMET)</t>
  </si>
  <si>
    <t>EXC OE CANELA-DO-NEPAL GT NEPAL 5ML</t>
  </si>
  <si>
    <t>EXC OE CAPE MAY GT AFRICA-DO-SUL 5ML</t>
  </si>
  <si>
    <t>EXC OE CAPIM-CIDREIRA HIDRODIFUSO GT HAITI 10ML</t>
  </si>
  <si>
    <t>EXC OE CAPIM-GENGIBRE GT INDIA 10ML</t>
  </si>
  <si>
    <t>EXC OE CARDAMOMO HD GT GUATEMALA 10ML</t>
  </si>
  <si>
    <t>EXC OE CATAIA GT BRASIL 5ML</t>
  </si>
  <si>
    <t>EXC OE CENOURA SEMENTES CO2 GT ALEMA 5ML -</t>
  </si>
  <si>
    <t>EXC OE CENOURA SEMENTES GT INDIA 10 ML - GOURMET</t>
  </si>
  <si>
    <t>EXC OE CIPRESTE-AZUL GT AUSTRALIA 5ML</t>
  </si>
  <si>
    <t>EXC OE CIPRESTE-DO-HIMALAIA GT NEPAL 10ML</t>
  </si>
  <si>
    <t>EXC OE COCO-DA-PRAIA CO2-TO GT INDIA 5ML</t>
  </si>
  <si>
    <t>EXC OE CONHAQUE-VERDE GT FRANCA 5ML</t>
  </si>
  <si>
    <t>EXC OE CROTON-COTONEASTER GT MADAGASCAR 5ML</t>
  </si>
  <si>
    <t>EXC OE CROTON-GEAYI GT MADAGASCAR 5ML</t>
  </si>
  <si>
    <t>EXC OE CUBEBA GT INDONESIA 5ML</t>
  </si>
  <si>
    <t>EXC OE CURRY FOLHAS GT INDIA 5ML</t>
  </si>
  <si>
    <t>EXC OE DAMIANA 10 GT MEXICO 10ML</t>
  </si>
  <si>
    <t>EXC OE ERVA-DOCE SEMENTES GT EGITO 10ML - GOURMET</t>
  </si>
  <si>
    <t>EXC OE EUCALIPTO-CIDREIRA GT BRASIL 10ML</t>
  </si>
  <si>
    <t>EXC OE EUCALIPTO-CITRIODORA GT BRASIL 50ML</t>
  </si>
  <si>
    <t>EXC OE EUCALIPTO-HORTELA GT AFRICA-DO-SUL 10ML</t>
  </si>
  <si>
    <t>EXC OE FAMONTY GT MADAGASCAR 5ML</t>
  </si>
  <si>
    <t>EXC OE FENO-GREGO CO2-SE GT INDIA 10ML - GOURMET</t>
  </si>
  <si>
    <t>EXC OE FLOR-DAS-ALMAS GT BRASIL 5ML</t>
  </si>
  <si>
    <t>EXC OE FRAGONIA GT AUSTRALIA 5 ML</t>
  </si>
  <si>
    <t>EXC OE GALBANO CO2-SE GT IRA 5ML</t>
  </si>
  <si>
    <t>EXC OE GENGIBRE HIDRODIFUSO GT SRI L. 5ML GOURMET</t>
  </si>
  <si>
    <t>EXC OE GRAO-DO-PARAISO GT MADAGASCAR 5ML</t>
  </si>
  <si>
    <t>EXC OE GREEN HEART GT QUENIA 5ML</t>
  </si>
  <si>
    <t>EXC OE HINOKI-OURO MADEIRA GT JAPAO 10ML</t>
  </si>
  <si>
    <t>EXC OE HORTELA-BRANCA GT BRASIL 10 ML</t>
  </si>
  <si>
    <t>EXC OE HORTELA-D AGUA GT EUA 5ML</t>
  </si>
  <si>
    <t>EXC OE JOAO-RUSSO GT BRASIL 5ML</t>
  </si>
  <si>
    <t>EXC OE JUNIPERO BAGAS CO2-SE GT INDIA 5ML</t>
  </si>
  <si>
    <t>EXC OE KANUKA GT NOVA ZELANDIA 5ML</t>
  </si>
  <si>
    <t>EXC OE LANYANA GT AFRICA-DO-SUL 5ML</t>
  </si>
  <si>
    <t>EXC OE LARANJA-DOCE 5X GT BRASIL 5ML</t>
  </si>
  <si>
    <t>EXC OE LARICIO GT CANADA / LARIX 5ML</t>
  </si>
  <si>
    <t>EXC OE LAVANDA BUENA VISTA GT EUA 5ML</t>
  </si>
  <si>
    <t>EXC OE LAVANDA HIDCOTE GT HUNGRIA 5ML</t>
  </si>
  <si>
    <t>EXC OE LAVANDA LADY BIRD GT INGLATERRA 5ML</t>
  </si>
  <si>
    <t>EXC OE LAVANDA MUNSTEAD GT HUNGRIA 5ML</t>
  </si>
  <si>
    <t>EXC OE LAVANDA SELECAO HUNGARA GT HUNGRIA</t>
  </si>
  <si>
    <t>EXC OE LAVANDA-BRANCA GT PORTUGAL 5ML</t>
  </si>
  <si>
    <t>EXC OE LAVANDA-LUISIERI GT PORTUGAL 5ML</t>
  </si>
  <si>
    <t>EXC OE LAVANDIM ABRIALIS GT FRANCA 10ML</t>
  </si>
  <si>
    <t>EXC OE LAVANDIM JUDIT GT HUNGRIA 5ML</t>
  </si>
  <si>
    <t>EXC OE LAVANDIM PROVENCE GT HUNGRIA 5ML</t>
  </si>
  <si>
    <t>EXC OE LAVANDIM TYPE H GT HUNGRIA 5ML</t>
  </si>
  <si>
    <t>EXC OE LEVISTICO FOLHAS GT HUNGRIA 10ML (GOURMET)</t>
  </si>
  <si>
    <t>EXC OE LIMAO-CAPETA GT BRASIL 10 ML</t>
  </si>
  <si>
    <t>EXC OE LIMAO-SICILIANO 5X GT BRASIL 5ML</t>
  </si>
  <si>
    <t>EXC OE LIRIO-DO-BREJO CO2-SE GT INDIA 5ML</t>
  </si>
  <si>
    <t>EXC OE LIRIO-DO-BREJO GT BRASIL 5ML</t>
  </si>
  <si>
    <t>EXC OE LUPULO CO2-SE GT EUA 5 ML (GOURMET)</t>
  </si>
  <si>
    <t>EXC OE LUPULO CO2-TO GT EUA 5ML (GOURMET)</t>
  </si>
  <si>
    <t>EXC OE LUPULO GT CANADA 5ML</t>
  </si>
  <si>
    <t>EXC OE MACIS GT INDIA 5ML</t>
  </si>
  <si>
    <t>EXC OE MAGNOLIA-BRANCA GT CHINA 5ML</t>
  </si>
  <si>
    <t>EXC OE MANAVAO GT MADAGASCAR 5ML</t>
  </si>
  <si>
    <t>EXC OE MANJERONA-DOCE GT EGITO 10ML - GOURMET</t>
  </si>
  <si>
    <t>EXC OE MANUKA GT NOVA ZELANDIA 5ML</t>
  </si>
  <si>
    <t>EXC OE MAPO GT BRASIL 10ML</t>
  </si>
  <si>
    <t>EXC OE MASSOIA GT INDONESIA 5 ML</t>
  </si>
  <si>
    <t>EXC OE MASTIQUE GT MARROCOS 10ML</t>
  </si>
  <si>
    <t>EXC OE MENTRASTO GT BRASIL 10ML</t>
  </si>
  <si>
    <t>EXC OE MILEFOLIO AZUL 10 GT INGLATERRA 10ML</t>
  </si>
  <si>
    <t>EXC OE MILEFOLIO-AZUL GT BULGARIA 10ML</t>
  </si>
  <si>
    <t>EXC OE MILEFOLIO-AZUL GT INGLATERRA 5ML</t>
  </si>
  <si>
    <t>EXC OE MURTA QT ACETATO MIRTENILA GT MARROCOS</t>
  </si>
  <si>
    <t>EXC OE MURTA-LIMAO GT AUSTRALIA 10ML</t>
  </si>
  <si>
    <t>EXC OE NARDO-VERDE CO2-SE GT INDIA 5ML</t>
  </si>
  <si>
    <t>EXC OE NEROLI / FLOR-DE-LARANJEIRA GT TUNISIA 5ML</t>
  </si>
  <si>
    <t>EXC OE NOZ-MOSCADA CO2 -SE GT INDIA 10ML</t>
  </si>
  <si>
    <t>EXC OE OLIBANO-DO-SUDAO GT ETIOPIA 5ML</t>
  </si>
  <si>
    <t>EXC OE OLIBANO-PRETO GT QUENIA 5ML</t>
  </si>
  <si>
    <t>EXC OE OPOPONAX QT QUENIA 5ML</t>
  </si>
  <si>
    <t>EXC OE OREGANO-DA-SIRIA GT TURQUIA 10ML (GOURMET)</t>
  </si>
  <si>
    <t>EXC OE PARIPAROBA GT BRASIL 5 ML</t>
  </si>
  <si>
    <t>EXC OE PIMENTA-NEGRA CO2-SE GT INDIA 5ML (GOURMET)</t>
  </si>
  <si>
    <t>EXC OE PIMENTA-PRETA GT INDIA 5ML (GOURMET)</t>
  </si>
  <si>
    <t>EXC OE PIMENTA-ROSA GT BRASIL 5ML (GOURMET)</t>
  </si>
  <si>
    <t>EXC OE PINHEIRO-AMARELO GT ARGENTINA 10ML</t>
  </si>
  <si>
    <t>EXC OE PINHEIRO-DA-AUSTRIA GT AUSTRIA 10ML</t>
  </si>
  <si>
    <t>EXC OE PINHEIRO-MARITIMO GT FRANCA 10ML</t>
  </si>
  <si>
    <t>EXC OE ROSA-BRANCA 10 GT BULGARIA 10ML</t>
  </si>
  <si>
    <t>EXC OE ROSA-BRANCA GT BULGARIA 5ML</t>
  </si>
  <si>
    <t>EXC OE SALSA FOLHAS GT BRASIL 10ML (GOURMET)</t>
  </si>
  <si>
    <t>EXC OE SALSA FOLHAS GT EUA 5ML</t>
  </si>
  <si>
    <t>EXC OE SALVIA TRILOBA CO2-TO GT TURQUIA 5ML</t>
  </si>
  <si>
    <t>EXC OE SALVIA-BRANCA GT EUA 5ML</t>
  </si>
  <si>
    <t>EXC OE SALVIA-ESCLAREIA GT EUA 5ML</t>
  </si>
  <si>
    <t>EXC OE SEGURELHA GT ITALIA 5ML</t>
  </si>
  <si>
    <t>EXC OE SEMPRE-VIVA IMMORTELLE GT BOSNIA 5ML</t>
  </si>
  <si>
    <t>EXC OE SEMPRE-VIVA-DAS-AREIAS 10 GT PORTUGAL</t>
  </si>
  <si>
    <t>EXC OE SHISO GT JAPAO 5ML</t>
  </si>
  <si>
    <t>EXC OE TAGETES GT MADAGASCAR 10ML</t>
  </si>
  <si>
    <t>EXC OE TANA GT MADAGASCAR 10ML</t>
  </si>
  <si>
    <t>EXC OE TANACETO-AZUL GT MARROCOS 5ML</t>
  </si>
  <si>
    <t>EXC OE TEA TREE LIMAO GT AUSTRALIA 5ML</t>
  </si>
  <si>
    <t>EXC OE TOMILHO QT BORNEOL GT MARROCOS 10ML</t>
  </si>
  <si>
    <t>EXC OE TOMILHO QT GERANIOL GT FRANÇA 5 ML</t>
  </si>
  <si>
    <t>EXC OE TOMILHO QT LINALOL GT FRANÇA 5 ML</t>
  </si>
  <si>
    <t>EXC OE TOMILHO-SERPILHO GT ALBANIA 5ML</t>
  </si>
  <si>
    <t>EXC OE TOMILHO-SPIKE GT TURQUIA 10ML</t>
  </si>
  <si>
    <t>EXC OE WINTERGREEN INDIANO GT NEPAL 10ML</t>
  </si>
  <si>
    <t>EXC OE YLANG-YLANG COMPLETO GT MADAGASCAR</t>
  </si>
  <si>
    <t>EXC OE YUZU GT JAPAO 5ML</t>
  </si>
  <si>
    <t>EXC OE ZINZIBA GT AFRICA DO SUL 10ML</t>
  </si>
  <si>
    <t>EXC OR BAUNILHA GT MADAGASCAR 5ML</t>
  </si>
  <si>
    <t>HIDROLATO DE ALECRIM 100ML</t>
  </si>
  <si>
    <t>HIDROLATO DE GERANIO 100ML</t>
  </si>
  <si>
    <t>HIDROLATO DE TEA TREE 100ML</t>
  </si>
  <si>
    <t>KIT 13 AROMAS</t>
  </si>
  <si>
    <t>KIT ESSENCIALMENTE YOGA - AILLA PACHECO</t>
  </si>
  <si>
    <t>KIT MAHA LILAH 2ª EDICAO</t>
  </si>
  <si>
    <t>KIT PASCOA - 2024</t>
  </si>
  <si>
    <t>KIT PERFUMARIA BOTANICA 20 OE 4,5ML</t>
  </si>
  <si>
    <t>KIT PROVADOR 10 OEs</t>
  </si>
  <si>
    <t>KIT PROVADOR SN 7 CHAKRAS 3ML</t>
  </si>
  <si>
    <t>KIT S.U.A.VI</t>
  </si>
  <si>
    <t>KIT VIBRACAO - ESSENCIA DA CRIACAO/MUSICA</t>
  </si>
  <si>
    <t>LIVRO A ALQUIMIA DA MENOPAUSA</t>
  </si>
  <si>
    <t>LIVRO A BIBLIA DOS OLEOS ESSENCIAIS</t>
  </si>
  <si>
    <t>LIVRO A BIBLIA PARA TRATAMENTO DE DORES COM</t>
  </si>
  <si>
    <t>EXC OE YLANG-YLANG COMPLETO GT INDONESIA 5ML</t>
  </si>
  <si>
    <t>LIVRO A CURA PELO IODO</t>
  </si>
  <si>
    <t>LIVRO A QUIMICA DOS OLEOS AROMATERAPEUTICOS</t>
  </si>
  <si>
    <t>LIVRO A TERAPIA DO MAGNESIO TRANSDERMICO</t>
  </si>
  <si>
    <t>LIVRO A TIREOIDITE HASHIMOTO</t>
  </si>
  <si>
    <t>LIVRO A VITAMINA D3</t>
  </si>
  <si>
    <t>LIVRO A VITAMINA K2 E O PARADOXO DO CALCIO</t>
  </si>
  <si>
    <t>LIVRO ALIENIGENAS DO PASSADO SERIE DO HISTORY</t>
  </si>
  <si>
    <t>LIVRO ALQUIMIA DOS AROMAS PARA A JUVENTUDE</t>
  </si>
  <si>
    <t>LIVRO ALZHEIMER E O OLFATO</t>
  </si>
  <si>
    <t>LIVRO ALZHEIMER E SE HOUVER UMA CURA</t>
  </si>
  <si>
    <t>LIVRO AROMADERMATOLOGIA</t>
  </si>
  <si>
    <t>LIVRO AROMATERAPIA A CURA PELOS OLEOS</t>
  </si>
  <si>
    <t>LIVRO AROMATERAPIA A FONTE DA JUVENTUDE</t>
  </si>
  <si>
    <t>LIVRO AROMATERAPIA APLICADA A ODONTOLOGIA</t>
  </si>
  <si>
    <t>LIVRO AROMATERAPIA AROMA E PSIQUE</t>
  </si>
  <si>
    <t>LIVRO AROMATERAPIA CLINICA</t>
  </si>
  <si>
    <t>LIVRO AROMATERAPIA E AS TECNICAS ENERGETICAS</t>
  </si>
  <si>
    <t>LIVRO AROMATERAPIA E GERIATRIA</t>
  </si>
  <si>
    <t>LIVRO AROMATERAPIA E MOMENTOS DE CRISE</t>
  </si>
  <si>
    <t>LIVRO AROMATERAPIA MEDICA</t>
  </si>
  <si>
    <t>LIVRO AROMATERAPIA PARA CADA DIA</t>
  </si>
  <si>
    <t>LIVRO AROMATERAPIA PARA CRIANCAS SAUDAVEIS</t>
  </si>
  <si>
    <t>LIVRO AROMATERAPIA PARA GRAVIDAS</t>
  </si>
  <si>
    <t>LIVRO AROMATERAPIA PARA MULHERES</t>
  </si>
  <si>
    <t>LIVRO AROMATERAPIA PARA OS PEQUENOS</t>
  </si>
  <si>
    <t>LIVRO AROMATERAPIA PARA TODOS</t>
  </si>
  <si>
    <t>LIVRO AROMATERAPIA QUANTICA</t>
  </si>
  <si>
    <t>LIVRO AYURVEDA E AROMATERAPIA</t>
  </si>
  <si>
    <t>LIVRO BASE QUIMICA DOS OLEOS ESSENCIAIS</t>
  </si>
  <si>
    <t>LIVRO CANNABIS E ESPIRITUALIDADE</t>
  </si>
  <si>
    <t>LIVRO CANNABIS E O SISTEMA ENDOCANABINOIDE</t>
  </si>
  <si>
    <t>LIVRO CANNABIS MEDICINAL</t>
  </si>
  <si>
    <t>LIVRO CASA NOSSA DE CADA DIA</t>
  </si>
  <si>
    <t>LIVRO COZINHA EXTRASSENSORIAL</t>
  </si>
  <si>
    <t>LIVRO CUIDANDO DOS FILHOS COM OLEOS ESSENCIAIS</t>
  </si>
  <si>
    <t>LIVRO CURA VIBRACIONAL</t>
  </si>
  <si>
    <t>LIVRO DESVENDANDO O MAHA LILAH 2º EDICAO</t>
  </si>
  <si>
    <t>LIVRO DIARIO AROMATICO</t>
  </si>
  <si>
    <t>LIVRO E SE FOR A B12</t>
  </si>
  <si>
    <t>LIVRO ENSAIOS SOBRE AROMATERAPIA HOLISTICA</t>
  </si>
  <si>
    <t>LIVRO ENSINAMENTOS DO CORACAO DE UM MESTRE</t>
  </si>
  <si>
    <t>LIVRO ESCLEROSE MULTIPLA E MUITA VITAMINA D</t>
  </si>
  <si>
    <t>LIVRO ESPAGIRIA 2ª EDIÇÃO</t>
  </si>
  <si>
    <t>LIVRO ESSECIALMENTE YOGA</t>
  </si>
  <si>
    <t>LIVRO ESSENCIA E ALQUIMIA</t>
  </si>
  <si>
    <t>LIVRO EU COZINHO COM OLEOS ESSENCIAIS</t>
  </si>
  <si>
    <t>LIVRO FUNDAMENTOS DA TERAPIA HOLISTICA</t>
  </si>
  <si>
    <t>LIVRO LIMPE SEUS GENES</t>
  </si>
  <si>
    <t>LIVRO MAHA LILAH - O JOGO DO AUTOCONHECIMENTO</t>
  </si>
  <si>
    <t>LIVRO MAIS JOVENS PELOS SEUS GENES</t>
  </si>
  <si>
    <t>LIVRO MEDICINA CANABINOIDE</t>
  </si>
  <si>
    <t>LIVRO MEDIUM MEDICO</t>
  </si>
  <si>
    <t>LIVRO O GRANDE MANUAL DA AROMATERAPIA</t>
  </si>
  <si>
    <t>LIVRO O GUIA COMPLETO CBD</t>
  </si>
  <si>
    <t>LIVRO OLEO DE COCO</t>
  </si>
  <si>
    <t>LIVRO OLEOS ESSENCIAIS ABORDAGEM FARMACEUTICA</t>
  </si>
  <si>
    <t>LIVRO OLEOS ESSENCIAIS ANTIVIRAIS</t>
  </si>
  <si>
    <t>LIVRO OLEOS ESSENCIAIS BIOATIVOS E CANCER</t>
  </si>
  <si>
    <t>LIVRO OLEOS ESSENCIAIS E CANCER</t>
  </si>
  <si>
    <t>LIVRO OLEOS ESSENCIAIS PARA A COZINHA E O BEM-</t>
  </si>
  <si>
    <t>LIVRO OLEOS ESSENCIAIS PARA ANIMAIS</t>
  </si>
  <si>
    <t>LIVRO OLEOS ESSENCIAIS PARA TONIFICAR E CURAR</t>
  </si>
  <si>
    <t>LIVRO OLEOS PARA UNCAO AROMATICA</t>
  </si>
  <si>
    <t>LIVRO PERFUMARIA BOTANICA PARA O PERFUMISTA</t>
  </si>
  <si>
    <t>LIVRO PLANTAS ANTIVIRAIS</t>
  </si>
  <si>
    <t>LIVRO QUIMICA ESSENCIAL</t>
  </si>
  <si>
    <t>LIVRO RESPIRACAO PARA TRANSFORMACAO</t>
  </si>
  <si>
    <t>LIVRO S.U.A.VI</t>
  </si>
  <si>
    <t>LIVRO SINERGIAS AROMATICAS</t>
  </si>
  <si>
    <t>LIVRO SOBREMESAS VIVAS ESSENCIAIS</t>
  </si>
  <si>
    <t>LIVRO TUDO SOBRE VIRUS</t>
  </si>
  <si>
    <t>LIVRO VIBRACAO - ESSENCIA DA CRIACAO</t>
  </si>
  <si>
    <t>OE ABETO-DA-SIBERIA GT RUSSIA 10ML</t>
  </si>
  <si>
    <t>OE ABETO-PRATA GT AUSTRIA 10ML</t>
  </si>
  <si>
    <t>OE ABSINTO LOSNA DM GT FRANCA 5ML</t>
  </si>
  <si>
    <t>OE AJOWAN GT INDIA 10ML</t>
  </si>
  <si>
    <t>OE ALECRIM CINEOL-EXTRA GT MARROCOS 10ML</t>
  </si>
  <si>
    <t>OE ALECRIM QT CANFORA GT ESPANHA 10ML</t>
  </si>
  <si>
    <t>OE ALECRIM QT CANFORA GT ESPANHA 50ML</t>
  </si>
  <si>
    <t>OE ALECRIM QT MIRCENO GT BRASIL 5ML</t>
  </si>
  <si>
    <t>OE ALECRIM QT VERBENONA GT MALAWI 5ML</t>
  </si>
  <si>
    <t>OE ALECRIM-DO-CAMPO GT BRASIL 5ML</t>
  </si>
  <si>
    <t>OE ALECRIM-PIMENTA GT BRASIL 10ML</t>
  </si>
  <si>
    <t>OE ALECRIM-SELVAGEM GT AFRICA-DO-SUL 5ML</t>
  </si>
  <si>
    <t>OE AMAZONGRASS GT BRASIL 5ML</t>
  </si>
  <si>
    <t>OE AMENDOAS AMARGAS GT EUA 10ML</t>
  </si>
  <si>
    <t>OE ANIS-ESTRELADO GT CHINA 10ML</t>
  </si>
  <si>
    <t>OE ARBORVITAE / CEDRO-VERMELHO GT EUA 10ML</t>
  </si>
  <si>
    <t>OE BALSAMO-DO-PERU GT PERU 5ML</t>
  </si>
  <si>
    <t>OE BERGAMOTA GT BRASIL 10ML</t>
  </si>
  <si>
    <t>OE BERGAMOTA GT COSTA DO MARFIM 10ML</t>
  </si>
  <si>
    <t>OE BERGAMOTA GT ITALIA 10ML</t>
  </si>
  <si>
    <t>OE BERGAMOTA LFC GT CHINA / ITALIA 10ML</t>
  </si>
  <si>
    <t>OE BETULA DEFUMADA GT RUSSIA 5ML</t>
  </si>
  <si>
    <t>OE BETULA-DOCE GT EUA 10ML</t>
  </si>
  <si>
    <t>OE BREU GT BRASIL 5ML</t>
  </si>
  <si>
    <t>OE BREU-PRETO GT BRASIL 5ML</t>
  </si>
  <si>
    <t>OE BUDDHA WOOD GT AUSTRALIA 5ML</t>
  </si>
  <si>
    <t>OE CAJEPUTE QT CINEOL GT AUSTRALIA 10ML</t>
  </si>
  <si>
    <t>OE CALENDULA CO2-TO GT ALEMANHA 5ML</t>
  </si>
  <si>
    <t>OE CAMOMILA-AZUL 10 GT BRASIL 10ML</t>
  </si>
  <si>
    <t>OE CAMOMILA-AZUL GT BRASIL 5ML</t>
  </si>
  <si>
    <t>OE CAMOMILA-ROMANA 10 GT INGLATERRA 10ML</t>
  </si>
  <si>
    <t>OE CAMOMILA-ROMANA GT INGLATERRA 5ML</t>
  </si>
  <si>
    <t>OE CANELA-DA-CHINA CASCAS GT CHINA 10ML</t>
  </si>
  <si>
    <t>OE CANELA-DO-CEILAO CASCAS GT SRI LANKA 5ML</t>
  </si>
  <si>
    <t>OE CANELA-DO-CEILAO FOLHAS GT MADAGASCAR</t>
  </si>
  <si>
    <t>OE CANELA-DO-HIMALAIA GT INDIA 5ML</t>
  </si>
  <si>
    <t>OE CANFORA-BRANCA GT CHINA 10ML</t>
  </si>
  <si>
    <t>OE CAPIM-CIDREIRA GT BRASIL 10ML</t>
  </si>
  <si>
    <t>OE CAPIM-LIMAO 10ML / MIO</t>
  </si>
  <si>
    <t>OE CAPIM-LIMAO GT BRASIL 10ML</t>
  </si>
  <si>
    <t>OE CAPIM-LIMAO GT BRASIL 50ML</t>
  </si>
  <si>
    <t>OE CARDAMOMO CO2-SE GT INDIA 5ML</t>
  </si>
  <si>
    <t>OE CARDAMOMO GT INDIA 5ML</t>
  </si>
  <si>
    <t>OE CARDAMOMO HD GT GUATEMALA 5ML</t>
  </si>
  <si>
    <t>OE CEDRO DO HIMALAIA GT INDIA 10ML</t>
  </si>
  <si>
    <t>OE CEDRO-CANJERANA GT BRASIL 5ML</t>
  </si>
  <si>
    <t>OE CEDRO-DA-CHINA GT CHINA 10ML</t>
  </si>
  <si>
    <t>OE CEDRO-DA-VIRGINIA GT EUA 10ML</t>
  </si>
  <si>
    <t>OE CEDRO-DO-ATLAS GT MARROCOS 10ML</t>
  </si>
  <si>
    <t>OE CEDRO-DO-JAPAO GT JAPAO 10ML</t>
  </si>
  <si>
    <t>OE CEDRO-DO-TEXAS MADEIRA GT EUA 10ML</t>
  </si>
  <si>
    <t>OE CIDRA GT BRASIL 10ML</t>
  </si>
  <si>
    <t>OE CIPRESTE-EUROPEU GT FRANCA / ESPANHA 10ML</t>
  </si>
  <si>
    <t>OE CITRONELA-DO-CEILAO GT BRASIL 10ML</t>
  </si>
  <si>
    <t>OE COENTRO FOLHAS GT EUA 5ML</t>
  </si>
  <si>
    <t>OE COENTRO SEMENTES GT FRANCA 5ML</t>
  </si>
  <si>
    <t>OE COMINHO SEMENTES GT INDIA 10ML</t>
  </si>
  <si>
    <t>OE CONHAQUE-VERDE GT FRANCA 5ML</t>
  </si>
  <si>
    <t>OE COPAIBA DEFUMADA GT BRASIL 10ML</t>
  </si>
  <si>
    <t>OE COPAIBA-BRANCA GT BRASIL 10ML</t>
  </si>
  <si>
    <t>OE COPAIBA-BRANCA GT BRASIL 50ML</t>
  </si>
  <si>
    <t>OE CRAVO-DA-INDIA BOTOES GT BRASIL 5ML</t>
  </si>
  <si>
    <t>OE CRAVO-DA-INDIA FOLHAS GT INDONESIA 10ML</t>
  </si>
  <si>
    <t>OE ELEMI GT FILIPINAS 10ML</t>
  </si>
  <si>
    <t>OE ENDRO FOLHAS GT EUA 10ML</t>
  </si>
  <si>
    <t>OE ERIGERON GT EUA 10ML</t>
  </si>
  <si>
    <t>OE ERVA-BALEEIRA GT BRASIL 5ML</t>
  </si>
  <si>
    <t>OE ERVA-DOS-GATOS / GATARIA 10 GT CANADA 10ML</t>
  </si>
  <si>
    <t>OE ESPRUCE-DO-CANADA GT CANADA 10ML</t>
  </si>
  <si>
    <t>OE ESPRUCE-PRETO GT CANADA 10ML</t>
  </si>
  <si>
    <t>OE ESTRAGAO GT EUA 5ML</t>
  </si>
  <si>
    <t>OE EUCALIPTO 10ML / MIO</t>
  </si>
  <si>
    <t>OE EUCALIPTO-CITRIODORA GT BRASIL 10ML</t>
  </si>
  <si>
    <t>OE EUCALIPTO-DUNNI GT BRASIL 5ML</t>
  </si>
  <si>
    <t>OE EUCALIPTO-GLOBULOS GT BRASIL 10ML</t>
  </si>
  <si>
    <t>OE EUCALIPTO-GLOBULOS GT BRASIL 50ML</t>
  </si>
  <si>
    <t>OE EUCALIPTO-RADIATA GT AUSTRALIA 10ML</t>
  </si>
  <si>
    <t>OE EUCALIPTO-VIMINALIS GT BRASIL 10ML</t>
  </si>
  <si>
    <t>OE FUNCHO-AMARGO GT BULGARIA 10ML</t>
  </si>
  <si>
    <t>OE FUNCHO-DOCE (PLANTA) GT BRASIL 5ML</t>
  </si>
  <si>
    <t>OE FUNCHO-DOCE GT BRASIL 10ML</t>
  </si>
  <si>
    <t>OE GALBANO GT IRA 5ML</t>
  </si>
  <si>
    <t>OE GENGIBRE CO2-SE GT INDIA 5ML</t>
  </si>
  <si>
    <t>OE GENGIBRE CO2-TO GT INDIA 5ML</t>
  </si>
  <si>
    <t>OE GENGIBRE GT CHINA 10ML</t>
  </si>
  <si>
    <t>OE GERANIO QT CITRONELOL GT CHINA 10ML</t>
  </si>
  <si>
    <t>OE GERANIO QT CITRONELOL GT EGITO / CHINA 10ML</t>
  </si>
  <si>
    <t>OE GERANIO QT GERANIOL GT BRASIL 10ML</t>
  </si>
  <si>
    <t>OE GERANIO-ROSA GT BRASIL 5ML</t>
  </si>
  <si>
    <t>OE GERANIO-ROSA GT INDIA 5ML</t>
  </si>
  <si>
    <t>OE GRAPEFRUIT LFC GT BRASIL 10ML</t>
  </si>
  <si>
    <t>OE GRAPEFRUIT-ROSA GT BRASIL 10ML</t>
  </si>
  <si>
    <t>OE GURJAN QT COPAENO GT INDIA 5ML</t>
  </si>
  <si>
    <t>OE HINOKI-PRATA MADEIRA GT EUA 10ML</t>
  </si>
  <si>
    <t>OE HIPERICO 10 GT CANADA 10ML</t>
  </si>
  <si>
    <t>OE HISSOPO GT BULGARIA 5ML</t>
  </si>
  <si>
    <t>OE HISSOPO-DECUMBENS GT ESPANHA 5ML</t>
  </si>
  <si>
    <t>OE HO WOOD GT CHINA 10ML</t>
  </si>
  <si>
    <t>OE HORTELA-BERGAMOTA GT EUA 10ML</t>
  </si>
  <si>
    <t>OE HORTELA-DA-ESCOCIA GT EUA 10ML</t>
  </si>
  <si>
    <t>OE HORTELA-DO-CAMPO GT BRASIL 10ML</t>
  </si>
  <si>
    <t>OE HORTELA-PIMENTA 10ML / MIO</t>
  </si>
  <si>
    <t>OE HORTELA-PIMENTA EXTRA GT EUA 10ML</t>
  </si>
  <si>
    <t>OE HORTELA-PIMENTA GT EUA / INDIA 10ML</t>
  </si>
  <si>
    <t>OE HORTELA-PIMENTA GT EUA 50ML</t>
  </si>
  <si>
    <t>OE HORTELA-VERDE GT CHINA 10ML</t>
  </si>
  <si>
    <t>OE IMBUIA GT BRASIL 5ML</t>
  </si>
  <si>
    <t>OE JASMIM-DOS-POETAS 10 CO2-SE GT INDIA 10ML</t>
  </si>
  <si>
    <t>OE JUNIPERO BAGAS E GALHOS GT SERVIA 10ML</t>
  </si>
  <si>
    <t>OE JUNIPERO BAGAS GT FRANCA 5ML</t>
  </si>
  <si>
    <t>OE JUNIPERO BAGAS GT INDIA 5ML</t>
  </si>
  <si>
    <t>OE JUNIPERO-FENICIO GT PORTUGAL 5ML</t>
  </si>
  <si>
    <t>OE JUREMA-BRANCA GT BRASIL 10ML</t>
  </si>
  <si>
    <t>OE LARANJA 10ML / MIO</t>
  </si>
  <si>
    <t>OE LARANJA-DA-TERRA GT BRASIL 10ML</t>
  </si>
  <si>
    <t>OE LARANJA-DOCE LIMA GT BRASIL 10ML</t>
  </si>
  <si>
    <t>OE LARANJA-DOCE PERA GT BRASIL 10ML</t>
  </si>
  <si>
    <t>OE LARANJA-DOCE PERA GT BRASIL 50ML</t>
  </si>
  <si>
    <t>OE LARANJA-DOCE VALENCIA GT BRASIL 10ML</t>
  </si>
  <si>
    <t>OE LARANJA-PERA LFC GT BRASIL 10ML</t>
  </si>
  <si>
    <t>OE LARANJA-SANGUINEA GT BRASIL 10ML</t>
  </si>
  <si>
    <t>OE LARANJA-SELVAGEM GT REPUBLICA DOMINICANA</t>
  </si>
  <si>
    <t>OE LAVANDA 10ML / MIO</t>
  </si>
  <si>
    <t>OE LAVANDA FOLGATE GT INGLATERRA 10ML</t>
  </si>
  <si>
    <t>OE LAVANDA MAILLETTE GT INGLATERRA 10ML</t>
  </si>
  <si>
    <t>OE LAVANDA-DENTATA GT BRASIL 10ML</t>
  </si>
  <si>
    <t>OE LAVANDA-FINA GT BULGARIA 10ML</t>
  </si>
  <si>
    <t>OE LAVANDA-FINA GT BULGARIA 50ML</t>
  </si>
  <si>
    <t>OE LAVANDA-FINA GT FRANCA 10ML</t>
  </si>
  <si>
    <t>OE LAVANDA-SPIKE GT ESPANHA 10ML</t>
  </si>
  <si>
    <t>OE LAVANDIM GROSSO GT FRANCA 10ML</t>
  </si>
  <si>
    <t>OE LAVANDIM GROSSO GT INGLATERRA 50ML</t>
  </si>
  <si>
    <t>OE LEDUM-DA-GROELANDIA 10 GT CANADA 10ML</t>
  </si>
  <si>
    <t>OE LIMA-DA-PERSIA GT BRASIL 10ML</t>
  </si>
  <si>
    <t>OE LIMA-MEXICANA DESTILADA GT MEXICO 10ML</t>
  </si>
  <si>
    <t>OE LIMA-TAHITI GT BRASIL 10ML</t>
  </si>
  <si>
    <t>OE LIMAO-SICILIANO LFC GT BRASIL 10ML</t>
  </si>
  <si>
    <t>OE LIMAO-SICILIANO MADURO GT BRASIL 10ML</t>
  </si>
  <si>
    <t>OE LIMAO-SICILIANO MADURO GT BRASIL 50ML</t>
  </si>
  <si>
    <t>OE LIMAO-SICILIANO T LESS GT BRASIL 10ML</t>
  </si>
  <si>
    <t>OE LIMAO-SICILIANO VERDE GT BRASIL 10ML</t>
  </si>
  <si>
    <t>OE LOURO FOLHAS GT TURQUIA 10ML</t>
  </si>
  <si>
    <t>OE MACACAPORANGA GT BRASIL 5ML</t>
  </si>
  <si>
    <t>OE MACELA-DO-CAMPO 10 GT BRASIL 10ML</t>
  </si>
  <si>
    <t>OE MANDARINA LFC GT BRASIL 10ML</t>
  </si>
  <si>
    <t>OE MANDARINA-AMARELA GT BRASIL 10ML</t>
  </si>
  <si>
    <t>OE MANDARINA-VERDE GT BRASIL 10ML</t>
  </si>
  <si>
    <t>OE MANDARINA-VERMELHA GT BRASIL 10ML</t>
  </si>
  <si>
    <t>OE MANJERICAO-DOCE GT BRASIL 5ML</t>
  </si>
  <si>
    <t>OE MANJERICAO-LIMAO QT CITRAL GT EUA 5ML</t>
  </si>
  <si>
    <t>OE MANJERONA-DOCE GT EGITO / HUNGRIA 5ML</t>
  </si>
  <si>
    <t>OE MANJERONA-SILVESTRE GT ESPANHA 10ML</t>
  </si>
  <si>
    <t>OE MAY CHANG / LITSEA CUBEBA GT CHINA 10ML</t>
  </si>
  <si>
    <t>OE MIRRA GT ETIOPIA 5ML</t>
  </si>
  <si>
    <t>OE MURTA QT CINEOL GT ESPANHA 5ML</t>
  </si>
  <si>
    <t>OE MURTA QT LINALOL GT TURQUIA 5ML</t>
  </si>
  <si>
    <t>OE NARDO-VERDE GT NEPAL 5ML</t>
  </si>
  <si>
    <t>OE NARDO-VERMELHO GT INDIA 5ML</t>
  </si>
  <si>
    <t>OE NEROLI FLOR-DE-LARANJEIRA 10 GT TUNISIA 10ML</t>
  </si>
  <si>
    <t>OE NIAOULI QT CINEOL GT MADAGASCAR 10ML</t>
  </si>
  <si>
    <t>OE NOZ-MOSCADA GT INDONESIA 5ML</t>
  </si>
  <si>
    <t>OE OLIBANO-DA-INDIA GT INDIA 5ML</t>
  </si>
  <si>
    <t>OE OLIBANO-DO-DESERTO GT SOMALIA 5ML</t>
  </si>
  <si>
    <t>OE OREGANO GREGO GT GRECIA 10ML</t>
  </si>
  <si>
    <t>OE OREGANO GT TURQUIA 5ML</t>
  </si>
  <si>
    <t>OE OREGANO-COMPACTO GT MARROCOS 10ML</t>
  </si>
  <si>
    <t>OE OREGANO-COMPACTO GT MARROCOS 5ML</t>
  </si>
  <si>
    <t>OE OREGANO-DA-ESPANHA GT ALBANIA 5ML</t>
  </si>
  <si>
    <t>OE OREGANO-DA-SIRIA GT TURQUIA 5ML</t>
  </si>
  <si>
    <t>OE OREGANO-DO-MEDITERRANEO GT TURQUIA 5ML</t>
  </si>
  <si>
    <t>OE OREGANO-EXTRA GT HUNGRIA 10ML</t>
  </si>
  <si>
    <t>OE OREGANO-EXTRA GT HUNGRIA 5ML</t>
  </si>
  <si>
    <t>OE PALMAROSA GT BRASIL 10ML</t>
  </si>
  <si>
    <t>OE PATCHOULI CLARO GT INDONESIA 10ML</t>
  </si>
  <si>
    <t>OE PATCHOULI ESCURO GT INDONESIA 10ML</t>
  </si>
  <si>
    <t>OE PAU-ROSA GT BRASIL 5ML</t>
  </si>
  <si>
    <t>OE PAU-SANTO MADEIRA GT EQUADOR 5ML</t>
  </si>
  <si>
    <t>OE PETITGRAIN-DE-LARANJA GT PARAGUAI 10ML</t>
  </si>
  <si>
    <t>OE PIMENTA-MALAGUETA CO2-TO GT INDIA 10ML</t>
  </si>
  <si>
    <t>OE PIMENTA-PRETA GT INDIA 5ML</t>
  </si>
  <si>
    <t>OE PINDAIBA FRUTOS GT BRASIL 5ML</t>
  </si>
  <si>
    <t>OE PINHEIRO-SILVESTRE GT BULGARIA 10ML</t>
  </si>
  <si>
    <t>OE PITANGA FOLHAS GT BRASIL 5ML</t>
  </si>
  <si>
    <t>OE PRIPRIOCA-DA-INDIA GT INDIA 5ML</t>
  </si>
  <si>
    <t>OE RAVENSARA-ANISATA GT MADAGASCAR 10ML</t>
  </si>
  <si>
    <t>OE RAVENSARA-AROMATICA GT MADAGASCAR 5ML</t>
  </si>
  <si>
    <t>OE RAVINTSARA GT MADAGASCAR 5ML</t>
  </si>
  <si>
    <t>OE ROSA-DE-DAMASCO 10 GT MARROCOS 10ML</t>
  </si>
  <si>
    <t>OE ROSA-DE-DAMASCO GT MARROCOS 5ML</t>
  </si>
  <si>
    <t>OE SALSA SEMENTES GT INDIA 5ML</t>
  </si>
  <si>
    <t>OE SALVIA-DA-DALMÁCIA GT FRANCA 5ML</t>
  </si>
  <si>
    <t>OE SALVIA-ESCLAREIA GT BULGARIA 5ML</t>
  </si>
  <si>
    <t>OE SALVIA-ESCLAREIA GT FRANCA 5ML</t>
  </si>
  <si>
    <t>OE SANDALO-AMYRIS GT HAITI 5ML</t>
  </si>
  <si>
    <t>OE SANDALO-DO-HAVAI 10 GT HAVIA 10ML</t>
  </si>
  <si>
    <t>OE SANDALO-INDIANO 10 GT INDIA 5ML</t>
  </si>
  <si>
    <t>OE SARO GT MADAGASCAR 10ML</t>
  </si>
  <si>
    <t>OE SEMPRE-VIVA IMMORTELLE 10 GT BOSNIA 10ML</t>
  </si>
  <si>
    <t>OE SEMPRE-VIVA MACHO GT MADAGASCAR 5ML</t>
  </si>
  <si>
    <t>OE SEMPRE-VIVA-FARADIFANI GT MADAGASCAR 5ML</t>
  </si>
  <si>
    <t>OE TANACETO-AZUL 10 GT MARROCOS 10ML</t>
  </si>
  <si>
    <t>OE TANGERINA-PONKAN GT BRASIL 10ML</t>
  </si>
  <si>
    <t>OE TANGERINA-PONKAN LFC GT BRASIL 10ML</t>
  </si>
  <si>
    <t>OE MELALEUCA 10ML / MIO</t>
  </si>
  <si>
    <t>OE TEA TREE GT AUSTRALIA 10ML</t>
  </si>
  <si>
    <t>OE TEA TREE GT AUSTRALIA 50ML</t>
  </si>
  <si>
    <t>OE TEA TREE GT BRASIL 10ML</t>
  </si>
  <si>
    <t>OE TEA TREE GT BRASIL 50ML</t>
  </si>
  <si>
    <t>OE TEA TREE LAVANDA GT AUSTRALIA 5ML</t>
  </si>
  <si>
    <t>OE TOMILHO VERMELHO QT TIMOL GT ESPANHA 10ML</t>
  </si>
  <si>
    <t>OE TOMILHO-BRANCO QT TIMOL GT HUNGRIA 10ML</t>
  </si>
  <si>
    <t>OE TUIA-MACA GT BRASIL 10ML</t>
  </si>
  <si>
    <t>OE TUIA-ORIENTAL GT CANADA 5ML</t>
  </si>
  <si>
    <t>OE TURMERICO GT INDIA 5ML</t>
  </si>
  <si>
    <t>OE VERBENA-BRANCA GT BRASIL 10ML</t>
  </si>
  <si>
    <t>OE VETIVER DEFUMADO GT INDONESIA 5ML</t>
  </si>
  <si>
    <t>OE VETIVER GT HAITI 5ML</t>
  </si>
  <si>
    <t>OE WINTERGREEN GT CHINA 10ML</t>
  </si>
  <si>
    <t>OE YLANG YLANG I GT CHINA 5ML</t>
  </si>
  <si>
    <t>OE YLANG YLANG II GT MADAGASCAR 5ML</t>
  </si>
  <si>
    <t>OE YLANG YLANG III GT MADAGASCAR 5ML</t>
  </si>
  <si>
    <t>OE YLANG-YLANG EXTRA GT INDONESIA 5ML</t>
  </si>
  <si>
    <t>OE YLANG-YLANG III GT ILHAS COMORES 5ML</t>
  </si>
  <si>
    <t>OG ABACATE 60ML</t>
  </si>
  <si>
    <t>OG AMENDOAS-DOCES 60ML</t>
  </si>
  <si>
    <t>OG ARGAN 15ML</t>
  </si>
  <si>
    <t>OG COCO PALMISTE 3L</t>
  </si>
  <si>
    <t>OG COCO PALMISTE 500ML</t>
  </si>
  <si>
    <t>OG COCO PALMISTE 5L</t>
  </si>
  <si>
    <t>OG GERME-DE-TRIGO 15ML</t>
  </si>
  <si>
    <t>OG GIRASSOL 200ML</t>
  </si>
  <si>
    <t>OG GIRASSOL 500ML</t>
  </si>
  <si>
    <t>OG JOJOBA 15ML</t>
  </si>
  <si>
    <t>OG LINHACA 200ML</t>
  </si>
  <si>
    <t>OG LINHACA 500ML</t>
  </si>
  <si>
    <t>OG MACADAMIA 60ML</t>
  </si>
  <si>
    <t>OG MARACUJA 200ML</t>
  </si>
  <si>
    <t>OG MASOL 200ML</t>
  </si>
  <si>
    <t>OG PRIMULA 200ML</t>
  </si>
  <si>
    <t>OG ROSA-MOSQUETA 15ML</t>
  </si>
  <si>
    <t>OM CAFE TORRADO GT BRASIL 10ML</t>
  </si>
  <si>
    <t>OM CAFE-VERDE GT BRASIL 10ML</t>
  </si>
  <si>
    <t>OM COMINHO-PRETO GT TURQUIA 10ML</t>
  </si>
  <si>
    <t>OR COPAIBA-BRANCA GT BRASIL 10ML</t>
  </si>
  <si>
    <t>OR COPAIBA-BRANCA GT BRASIL 50ML</t>
  </si>
  <si>
    <t>OR MIRRA-DA-INDIA GT INDIA 5 ML</t>
  </si>
  <si>
    <t>OR PIMENTA-PRETA GT INDIA 10ML</t>
  </si>
  <si>
    <t>OR SANGUE-DE-DRAGAO GT BRASIL 10ML</t>
  </si>
  <si>
    <t>OR TURMERICO CURCUMA GT INDIA 10ML</t>
  </si>
  <si>
    <t>PE ALTO ASTRAL 200ML</t>
  </si>
  <si>
    <t>PE FLOR DE YLANG 200ML</t>
  </si>
  <si>
    <t>PE PROVENCE 200ML</t>
  </si>
  <si>
    <t>PE REIKI 200ML</t>
  </si>
  <si>
    <t>ROLL-ON ADAPTACAO 10ML</t>
  </si>
  <si>
    <t>ROLL-ON ALEGRIA 10ML</t>
  </si>
  <si>
    <t>ROLL-ON ANTI TABACO 10ML</t>
  </si>
  <si>
    <t>ROLL-ON ENERGIA 10ML</t>
  </si>
  <si>
    <t>ROLL-ON ESTUDO 10ML</t>
  </si>
  <si>
    <t>ROLL-ON LEVE-MENTE 10ML</t>
  </si>
  <si>
    <t>ROLL-ON NO STRESS 10ML</t>
  </si>
  <si>
    <t>ROLL-ON SACIEDADE 10ML</t>
  </si>
  <si>
    <t>ROLL-ON SONHANDO 10ML</t>
  </si>
  <si>
    <t>SN 4 LADROES 10ML</t>
  </si>
  <si>
    <t>SN ALEGRIA E MOTIVACAO 5ML</t>
  </si>
  <si>
    <t>SN AROMA-REPEL 5ML</t>
  </si>
  <si>
    <t>SN AROMARESCUE 5ML</t>
  </si>
  <si>
    <t>SN CABELOS 5ML</t>
  </si>
  <si>
    <t>SN CALMA E PAZ 5ML</t>
  </si>
  <si>
    <t>SN CHAKRA 1 RAIZ 10ML</t>
  </si>
  <si>
    <t>SN CHAKRA 2 SEXUAL 10ML</t>
  </si>
  <si>
    <t>SN CHAKRA 3 PLEXO SOLAR 10ML</t>
  </si>
  <si>
    <t>SN CHAKRA 4 CARDIACO 10ML</t>
  </si>
  <si>
    <t>SN CHAKRA 5 LARINGEO 10ML</t>
  </si>
  <si>
    <t>SN CHAKRA 6 TERCEIRO OLHO 10ML</t>
  </si>
  <si>
    <t>SN CHAKRA 7 CORONARIO 10ML</t>
  </si>
  <si>
    <t>SN ENERGIA E RENOVACAO 5ML</t>
  </si>
  <si>
    <t>SN EQUILIBRIO E BEM-ESTAR 5ML</t>
  </si>
  <si>
    <t>SN FITONCIDAS 5ML</t>
  </si>
  <si>
    <t>SN FOCO E CONCENTRACAO 5ML</t>
  </si>
  <si>
    <t>SN HOMEM 5ML</t>
  </si>
  <si>
    <t>SN IMUNIDADE 5ML</t>
  </si>
  <si>
    <t>SN INSPIRACAO E CRIATIVIDADE 5ML</t>
  </si>
  <si>
    <t>SN MAHALILAH 20 5ML</t>
  </si>
  <si>
    <t>SN MULHER 5ML</t>
  </si>
  <si>
    <t>SN PULMINUM 5ML</t>
  </si>
  <si>
    <t>SN RAKU 5ML</t>
  </si>
  <si>
    <t>SN SINUS 5ML</t>
  </si>
  <si>
    <t>SN SONO E SONHOS 5ML</t>
  </si>
  <si>
    <t>OE CENOURA SEMENTES GT INDIA 5ML</t>
  </si>
  <si>
    <t>EXC OR ALECRIM GT INDIA 5ML</t>
  </si>
  <si>
    <t>OG BORRAGEM 15ML</t>
  </si>
  <si>
    <t>OG RICINO 60ML</t>
  </si>
  <si>
    <t>Código MP</t>
  </si>
  <si>
    <t>Nome MP</t>
  </si>
  <si>
    <t>Und</t>
  </si>
  <si>
    <t>Fabricante</t>
  </si>
  <si>
    <t>Classificação</t>
  </si>
  <si>
    <t>Qtd Min</t>
  </si>
  <si>
    <t>Preço Custo Real</t>
  </si>
  <si>
    <t>ABS ACACIA DOCE</t>
  </si>
  <si>
    <t>KG</t>
  </si>
  <si>
    <t>LIBERTY NATURAL</t>
  </si>
  <si>
    <t>ABSOLUTOS.</t>
  </si>
  <si>
    <t>ABS ACACIA MIMOSA ABSOLUTO GT FRANÇA</t>
  </si>
  <si>
    <t>THE PERFUMERY</t>
  </si>
  <si>
    <t>ABS AÇAFRAO GT FRANÇA</t>
  </si>
  <si>
    <t>ABS AÇAFROA (CÁRTAMO) GT INDIA</t>
  </si>
  <si>
    <t>ML</t>
  </si>
  <si>
    <t>ABS ALGAS MARINHAS</t>
  </si>
  <si>
    <t>NORFOLK</t>
  </si>
  <si>
    <t>OLEO ESSENCIAL</t>
  </si>
  <si>
    <t>ABS AMBAR ESTORAQUE</t>
  </si>
  <si>
    <t>INTERLINK</t>
  </si>
  <si>
    <t>ABS ANGELICA RAIZES</t>
  </si>
  <si>
    <t xml:space="preserve">IMPORTADO </t>
  </si>
  <si>
    <t>ABS ARNICA MONTANA GT FRANÇA</t>
  </si>
  <si>
    <t>ABS AZEVEM SECO GT FRANÇA</t>
  </si>
  <si>
    <t>ABS BALSAMO DO PERU ABSOLUTO</t>
  </si>
  <si>
    <t>ABS BALSAMO DO TOLU ABSOLUTO</t>
  </si>
  <si>
    <t>ABS BAUNILHA</t>
  </si>
  <si>
    <t>GLAMIR</t>
  </si>
  <si>
    <t>ABS BENJOIM DO SIAO ABSOLUTO</t>
  </si>
  <si>
    <t>ABS CACAU CHOCOLATE</t>
  </si>
  <si>
    <t>ABS CACAU EXTRATO CHOCOLATE</t>
  </si>
  <si>
    <t>ABS CAPIM BAUNILHA</t>
  </si>
  <si>
    <t>ABS CARDAMOMO GT GUATEMALA</t>
  </si>
  <si>
    <t xml:space="preserve">ABS CASSIS BOTOES GROSELHA NEGRA  </t>
  </si>
  <si>
    <t>ABS CERA DE ABELHA ABS</t>
  </si>
  <si>
    <t>ABS CHAMPACA AMARELA GT INDIA</t>
  </si>
  <si>
    <t>ABS CHAMPACA ROSA</t>
  </si>
  <si>
    <t>ABS CRAVEIRO GT EGITO</t>
  </si>
  <si>
    <t xml:space="preserve">ABS CRISÂNTEMO </t>
  </si>
  <si>
    <t>ABS CUMARU FAVA TONKA</t>
  </si>
  <si>
    <t>LT</t>
  </si>
  <si>
    <t>NEILOR</t>
  </si>
  <si>
    <t>ABS FRANGIPANI FLORES GT INDIA</t>
  </si>
  <si>
    <t xml:space="preserve">ABS FUNGHI PORCINI GT FRANÇA </t>
  </si>
  <si>
    <t>ABS JASMIM REAL GT INDIA</t>
  </si>
  <si>
    <t>G</t>
  </si>
  <si>
    <t>ABS JASMIM SAMBAC GT INDIA</t>
  </si>
  <si>
    <t>MENTHOLINDIA</t>
  </si>
  <si>
    <t xml:space="preserve">INSUMOS </t>
  </si>
  <si>
    <t>ABS JUNQUILHO</t>
  </si>
  <si>
    <t>ABS LADANO (CISTO) RESINOIDE GT ESPANHA</t>
  </si>
  <si>
    <t>ABS LAVANDA GT BULGARIA - AMOSTRA</t>
  </si>
  <si>
    <t>ESSENTIAL BGOILS</t>
  </si>
  <si>
    <t>ABS LAVANDA GT FRANÇA</t>
  </si>
  <si>
    <t xml:space="preserve">ABS LAVANDIM VAR, GROSSO </t>
  </si>
  <si>
    <t>ABS LOTUS BRANCO</t>
  </si>
  <si>
    <t>ABS LOTUS ROSA</t>
  </si>
  <si>
    <t>ABS MATE ERVA MATE GT BRASIL</t>
  </si>
  <si>
    <t>ABS MUSGO DE CARVALHO VERDE</t>
  </si>
  <si>
    <t>ABS NARCISO GT FRANÇA</t>
  </si>
  <si>
    <t>ABS OSMANTHUS</t>
  </si>
  <si>
    <t>ABS ROSA BULGARIA</t>
  </si>
  <si>
    <t>ABS ROSA DA ANATOLIA</t>
  </si>
  <si>
    <t>ABS ROSA DE DAMASCO GT RUSSIA</t>
  </si>
  <si>
    <t>ABS ROSA DE MAIO ABS</t>
  </si>
  <si>
    <t>ABS ROSA GT BULGARIA - AMOSTRA</t>
  </si>
  <si>
    <t>ABS ROSA VERMELHA GT RÚSSIA</t>
  </si>
  <si>
    <t>ABS SALVIA ESCLAREIA GT FRANÇA</t>
  </si>
  <si>
    <t>ABS SEMPRE VIVA ABS (IMORTELLE ITALICA) GT FRANÇA</t>
  </si>
  <si>
    <t>ABS SEMPRE VIVA DAS AREIAS GT ESPANHA</t>
  </si>
  <si>
    <t>ABS TABACO CACHIMBO CHOCOLATE</t>
  </si>
  <si>
    <t>ABS TABACO DOURADO GT BULGÁRIA</t>
  </si>
  <si>
    <t xml:space="preserve">ABS TABACO-PRETO  ABS GT BULGARIA </t>
  </si>
  <si>
    <t>ABS TUBEROSA GT INDIA</t>
  </si>
  <si>
    <t>ABS TURMERICO OLEORESINA GT INDIA</t>
  </si>
  <si>
    <t xml:space="preserve">ABS URUCUM SEMENTES  </t>
  </si>
  <si>
    <t xml:space="preserve">ABS UVA BORDO CASCAS </t>
  </si>
  <si>
    <t>ABS VIOLETA FOLHAS GT EGITO</t>
  </si>
  <si>
    <t>ABS YUZU GT JAPÃO</t>
  </si>
  <si>
    <t>AÇAFRAO PURO 25KG</t>
  </si>
  <si>
    <t>PAIOL COMERCIAL</t>
  </si>
  <si>
    <t>AÇUCAR CRISTAL ORGANICA 25KG</t>
  </si>
  <si>
    <t>SC</t>
  </si>
  <si>
    <t>USINA SAO FRANCISCO</t>
  </si>
  <si>
    <t>AÇUCAR DEMERARA ORGANICA 25KG</t>
  </si>
  <si>
    <t>CEREALISTA SÃO JOSÉ</t>
  </si>
  <si>
    <t>ÁGUA</t>
  </si>
  <si>
    <t>OUTROS</t>
  </si>
  <si>
    <t xml:space="preserve">AMENDOA INTEIRA S/CASCA CRUA </t>
  </si>
  <si>
    <t>CX</t>
  </si>
  <si>
    <t>BRASIL FRUTT</t>
  </si>
  <si>
    <t>AMENDOIM TORRADO</t>
  </si>
  <si>
    <t>PACHÁ</t>
  </si>
  <si>
    <t xml:space="preserve">AMOSTRA CANNABIS SATIVA </t>
  </si>
  <si>
    <t>ARGILA BRANCA</t>
  </si>
  <si>
    <t>BRASIL MINAS</t>
  </si>
  <si>
    <t>ARGILA</t>
  </si>
  <si>
    <t>ARGILA DOURADA</t>
  </si>
  <si>
    <t>ARGILA PRETA</t>
  </si>
  <si>
    <t>ARGILA ROSA</t>
  </si>
  <si>
    <t>ARGILA VERDE</t>
  </si>
  <si>
    <t>ARGILA VERMELHA</t>
  </si>
  <si>
    <t>ATTAR ABACAXI</t>
  </si>
  <si>
    <t>ATTAR CAFÉ</t>
  </si>
  <si>
    <t xml:space="preserve">ATTAR ERVA DOCE </t>
  </si>
  <si>
    <t>ATTAR ERVA MATE</t>
  </si>
  <si>
    <t xml:space="preserve">ATTAR MIRRA BRASILEIRA </t>
  </si>
  <si>
    <t xml:space="preserve">ATTAR MUSGO-DAS-PEDRAS </t>
  </si>
  <si>
    <t>AZEITE DE OLIVA EXTRA VIRGEM AGRANEL</t>
  </si>
  <si>
    <t xml:space="preserve">CARLA APARECIDA </t>
  </si>
  <si>
    <t>OLEO VEGETAL</t>
  </si>
  <si>
    <t>BL 4 LADROES</t>
  </si>
  <si>
    <t>BLENDS.</t>
  </si>
  <si>
    <t>BL BAUNILHA BLEND</t>
  </si>
  <si>
    <t>BL CHA VERDE</t>
  </si>
  <si>
    <t xml:space="preserve">OE DESTILADOS </t>
  </si>
  <si>
    <t>BL EXODO</t>
  </si>
  <si>
    <t>BL LILAS</t>
  </si>
  <si>
    <t>BL MADRESSILVA</t>
  </si>
  <si>
    <t>BL MAE TERRA</t>
  </si>
  <si>
    <t>BL MUSK</t>
  </si>
  <si>
    <t xml:space="preserve">BL NEROLI </t>
  </si>
  <si>
    <t>BL PAU ROSA</t>
  </si>
  <si>
    <t>BL ROSA BRANCA</t>
  </si>
  <si>
    <t>BL ROSA VERMELHA</t>
  </si>
  <si>
    <t xml:space="preserve">BL SANDALO </t>
  </si>
  <si>
    <t xml:space="preserve">BL SEMPRE VIVA </t>
  </si>
  <si>
    <t>BL SENSUAL</t>
  </si>
  <si>
    <t>BL TERRA</t>
  </si>
  <si>
    <t>BL YUZU BLEND</t>
  </si>
  <si>
    <t>BLENDS E BOUQUETS</t>
  </si>
  <si>
    <t>CAIXA CHOCOLATE AO LEITE COM ÔMEGA 3 40% 80G</t>
  </si>
  <si>
    <t>UN</t>
  </si>
  <si>
    <t>RONA EDITORA</t>
  </si>
  <si>
    <t>EMBALAGENS</t>
  </si>
  <si>
    <t>CAIXA CHOCOLATE BETULA DEFUMADA E BARU 40% 80G</t>
  </si>
  <si>
    <t>CAIXA CHOCOLATE BRANCO ERVA DOCE 80G</t>
  </si>
  <si>
    <t>CAIXA CHOCOLATE BRANCO JASMIM LEITE DE COCO 80G</t>
  </si>
  <si>
    <t>CAIXA CHOCOLATE BRANCO LARANJA 80G</t>
  </si>
  <si>
    <t>CAIXA CHOCOLATE BRANCO ROSAS COM HIBISCO 44% 80G</t>
  </si>
  <si>
    <t>CAIXA CHOCOLATE CAFÉ COM CANELA 80G</t>
  </si>
  <si>
    <t>CAIXA CHOCOLATE GENGIBRE COM LIMÃO 80G</t>
  </si>
  <si>
    <t>CAIXA CHOCOLATE GOLDEN CHAI 42% 80G</t>
  </si>
  <si>
    <t>CAIXA CHOCOLATE HORTELÃ FONTE DE ÔMEGA 3 60% 80G</t>
  </si>
  <si>
    <t>CAIXA CHOCOLATE LAVANDA FINA BULGÁRIA 80G</t>
  </si>
  <si>
    <t>CAIXA CHOCOLATE MOUSSE 42% 80G</t>
  </si>
  <si>
    <t>CAIXA CHOCOLATE ORÉGANO, MANJERONA E AMENDOAS 80G</t>
  </si>
  <si>
    <t>CAIXA CHOCOLATE PASSAS E CONHAQUE VERDE 80G</t>
  </si>
  <si>
    <t>CAIXA CHOCOLATE PATCHOULI 80G</t>
  </si>
  <si>
    <t>CAIXA CHOCOLATE PIMENTA 50% 80G</t>
  </si>
  <si>
    <t>CAIXA CHOCOLATE VEGANO CACAU 70% 80G</t>
  </si>
  <si>
    <t>CAIXA CHOCOLATE VETIVER 80G</t>
  </si>
  <si>
    <t>CAIXA MALETA THERRA</t>
  </si>
  <si>
    <t>Y Z REPRESENTAÇÕES</t>
  </si>
  <si>
    <t>CAIXA MASCARA FACIAL ARGILA BRANCA DOLOMITA 60G</t>
  </si>
  <si>
    <t>CAIXA MASCARA FACIAL ARGILA PRETA TURMALINA 60G</t>
  </si>
  <si>
    <t>CAIXA MASCARA FACIAL ARGILA VERDE E ZEOLITA 60G</t>
  </si>
  <si>
    <t>CAIXA MASCARA FACIAL DE KOMBUCHA E PEROLAS 60G</t>
  </si>
  <si>
    <t>CAIXA TERMICA ISOPOR 3 LT</t>
  </si>
  <si>
    <t>COMERCIAL ISOPOR</t>
  </si>
  <si>
    <t>CAIXA TERMICA ISOPOR 5 LT</t>
  </si>
  <si>
    <t>CAIXA TERMICA ISOPOR 8 LT</t>
  </si>
  <si>
    <t xml:space="preserve">CAIXA THERRA DIVISORIA </t>
  </si>
  <si>
    <t>CANELA EM PÓ 500G</t>
  </si>
  <si>
    <t>FUCHS GEWURZE</t>
  </si>
  <si>
    <t>OUTROS PRODUTOS</t>
  </si>
  <si>
    <t>CASTANHA BARU</t>
  </si>
  <si>
    <t>NOBILE</t>
  </si>
  <si>
    <t>CASTANHA DE CAJU SLW NATURAL</t>
  </si>
  <si>
    <t>CASTANHA DE CAJU XEREM X-T</t>
  </si>
  <si>
    <t>CHA HIBISCO FLOR 20KG</t>
  </si>
  <si>
    <t>CHOCOLATE AO LEITE COM ÔMEGA 3 40% 5G</t>
  </si>
  <si>
    <t>THERRA AROMAS E SABORES</t>
  </si>
  <si>
    <t>CHOCOLATES EM BARRA</t>
  </si>
  <si>
    <t>CHOCOLATE AO LEITE COM ÔMEGA 3 40% 80G</t>
  </si>
  <si>
    <t>CHOCOLATE BRANCO BETULA DEFUMADA E BARU 40% 80G</t>
  </si>
  <si>
    <t>CHOCOLATE BRANCO DE PAÇOCA 38% 5G</t>
  </si>
  <si>
    <t>CHOCOLATE BRANCO DE ROSAS E HIBISCO 44% 5G</t>
  </si>
  <si>
    <t>CHOCOLATE BRANCO ERVA DOCE COM CASTANHA 40% 80G</t>
  </si>
  <si>
    <t>CHOCOLATE BRANCO LARANJA, PASSA E CASTANHA 40% 80G</t>
  </si>
  <si>
    <t>CHOCOLATE BRANCO MOUSSE DE LIMÃO-SICILIANO 42% 80G</t>
  </si>
  <si>
    <t>CHOCOLATE BRANCO ROSAS COM FLORES HIBISCO 44% 80G</t>
  </si>
  <si>
    <t>CHOCOLATE BRANCO VEGANO JASMIM COM LEITE 42% 80G</t>
  </si>
  <si>
    <t>CHOCOLATE BRANCO VEGANO MOUSSE DE LIMÃO 42% 80G</t>
  </si>
  <si>
    <t>CHOCOLATE CANELA COM CAFÉ 60% 80G</t>
  </si>
  <si>
    <t>CHOCOLATE GOLDEN CHAI 42% 80G</t>
  </si>
  <si>
    <t>CHOCOLATE ORÉGANO COM MANJERONA E AMÊNDOAS 52% 80G</t>
  </si>
  <si>
    <t>CHOCOLATE PIMENTA MALAGUETA COM FIGO 50% 80G</t>
  </si>
  <si>
    <t>CHOCOLATE VEGANO CACAU 70% 80G</t>
  </si>
  <si>
    <t>CHOCOLATE VEGANO CONHAQUE COM UVA PASSAS 53% 80G</t>
  </si>
  <si>
    <t>CHOCOLATE VEGANO GENGIBRE E LIMÃO 55% 80G</t>
  </si>
  <si>
    <t>CHOCOLATE VEGANO HORTELA FONTE DE OMEGA 3 60% 5G</t>
  </si>
  <si>
    <t>CHOCOLATE VEGANO HORTELÃ FONTE DE ÔMEGA 3 60% 80G</t>
  </si>
  <si>
    <t>CHOCOLATE VEGANO LAVANDA COM AMÊNDOAS 56% 80G</t>
  </si>
  <si>
    <t>CHOCOLATE VEGANO PATCHOULI COM TÂMARAS 50% 80G</t>
  </si>
  <si>
    <t>CHOCOLATE VETIVER COM FUNGHI 55% 80G</t>
  </si>
  <si>
    <t>CO MANTEIGA  KARITE</t>
  </si>
  <si>
    <t>SARFAM</t>
  </si>
  <si>
    <t xml:space="preserve">CO MANTEIGA CACAU NATURAL </t>
  </si>
  <si>
    <t xml:space="preserve">IBC </t>
  </si>
  <si>
    <t>CO MANTEIGA DE CUPUAÇU</t>
  </si>
  <si>
    <t>GREENTECH</t>
  </si>
  <si>
    <t>CO MANTEIGA MANGA</t>
  </si>
  <si>
    <t>CO SAIS DE MAGNESIO</t>
  </si>
  <si>
    <t>PRODUQUIMICA</t>
  </si>
  <si>
    <t>COSMETICOS</t>
  </si>
  <si>
    <t>CO2 AGARWOOD CO2-SE GT ÍNDIA</t>
  </si>
  <si>
    <t>CO2.</t>
  </si>
  <si>
    <t>CO2 AIPO FOLHAS GT INDIA</t>
  </si>
  <si>
    <t>CO2 ALECRIM CO2 TO (25% diterp - ÓLEOR.)</t>
  </si>
  <si>
    <t>CO2 ALECRIM QT CANFORA CO2-SE</t>
  </si>
  <si>
    <t>CO2 AVELA GT TURQUIA</t>
  </si>
  <si>
    <t>CO2 BAUNILHA GT INDIA</t>
  </si>
  <si>
    <t xml:space="preserve">CO2 CACAU </t>
  </si>
  <si>
    <t>CO2 CAFE GT INDIA CO2-SE</t>
  </si>
  <si>
    <t>CO2 CALENDULA CO2-TO GT ALEMANHA</t>
  </si>
  <si>
    <t xml:space="preserve">CO2 CAMOMILA ALEMA </t>
  </si>
  <si>
    <t>CO2 CANANGA-DO-JAPÃO SE GT ÍNDIA</t>
  </si>
  <si>
    <t>CO2 CANELA DO CEILAO SE</t>
  </si>
  <si>
    <t xml:space="preserve">CO2 CANELA DO CEILAO TO </t>
  </si>
  <si>
    <t>CO2 CARDAMOMO CO2 - SE PREMIUM GT INDIA</t>
  </si>
  <si>
    <t>CO2 CENOURA (SEMENTES) GT ALEMANHA</t>
  </si>
  <si>
    <t>CO2 CHAMPACA - TO GT INDIA</t>
  </si>
  <si>
    <t xml:space="preserve">CO2 COCO </t>
  </si>
  <si>
    <t>CO2 COENTRO SEMENTES SE GT POLONIA</t>
  </si>
  <si>
    <t>CO2 ESPINHEIRO MARITIMO CO2 TO</t>
  </si>
  <si>
    <t>CO2 FENO GREGO (SEMENTES) CO2 -SE GT INDIA</t>
  </si>
  <si>
    <t>CO2 GALBANO CO2 SE GT IRA</t>
  </si>
  <si>
    <t xml:space="preserve">CO2 GENGIBRE CO2-SE </t>
  </si>
  <si>
    <t>CO2 GENGIBRE CO2-TO</t>
  </si>
  <si>
    <t>CO2 JASMIM DOS POETAS FLORES</t>
  </si>
  <si>
    <t xml:space="preserve">CO2 JUNIPERO BAGAS CO2 SE </t>
  </si>
  <si>
    <t>CO2 LIRIO DO BREJO</t>
  </si>
  <si>
    <t>CO2 LUPULO - CO2  TO FLORES</t>
  </si>
  <si>
    <t>CO2 LUPULO CO2-SE GT EUA</t>
  </si>
  <si>
    <t>CO2 MANJERICAO SANTO</t>
  </si>
  <si>
    <t>CO2 MANTEIGA CO2 SE GT BELGICA</t>
  </si>
  <si>
    <t xml:space="preserve">CO2 MIRRA CO2 SE GT ETIOPIA  </t>
  </si>
  <si>
    <t xml:space="preserve">CO2 MIRRA DA SOMALIA CO2 SE </t>
  </si>
  <si>
    <t>CO2 MUSK AMBRETO CO2 SE GT INDIA</t>
  </si>
  <si>
    <t>CO2 NARDO VERDE CO2-SE GT INDIA</t>
  </si>
  <si>
    <t>CO2 NIM FOLHAS CO2 TO GT INDIA</t>
  </si>
  <si>
    <t>CO2 NOZ MOSCADA CO2-SE</t>
  </si>
  <si>
    <t xml:space="preserve">CO2 OLIBANO DA INDIA </t>
  </si>
  <si>
    <t>CO2 OLIBANO SELVAGEM CO2 SE VAR FREREANA</t>
  </si>
  <si>
    <t>CO2 PAPRIKA TO</t>
  </si>
  <si>
    <t>CO2 PATCHOULI SE</t>
  </si>
  <si>
    <t>CO2 PIMENTA MALAGUETA (5% CAPSAI.) CO2 TO</t>
  </si>
  <si>
    <t>CO2 PIMENTA NEGRA CO2 TO</t>
  </si>
  <si>
    <t>CO2 ROSA MOSQUETA FRUTOS GT BULGARIA</t>
  </si>
  <si>
    <t>CO2 SALSAPARRILLA</t>
  </si>
  <si>
    <t>CO2 SALVIA TRILOBA CO2 TO GT TURQUIA</t>
  </si>
  <si>
    <t>CO2 SANDALO MYSORE CO2 - SE</t>
  </si>
  <si>
    <t xml:space="preserve">CO2 TURMERICO RIZOMAS CO2 SE GT INDIA </t>
  </si>
  <si>
    <t>CO2 VALERIANA GT INDIA</t>
  </si>
  <si>
    <t>CONCRETO CACAU</t>
  </si>
  <si>
    <t>EMB ANEL BORRIFADOR</t>
  </si>
  <si>
    <t>MIL</t>
  </si>
  <si>
    <t>BEPACK</t>
  </si>
  <si>
    <t>EMB APLICADOR ESFERA ROLL ON</t>
  </si>
  <si>
    <t>PRIMERA EMBALAGENS</t>
  </si>
  <si>
    <t>EMB BALDE PLÁSTICO 3,2L</t>
  </si>
  <si>
    <t>JAGUAR</t>
  </si>
  <si>
    <t>EMB BALDE PLÁSTICO 5L</t>
  </si>
  <si>
    <t xml:space="preserve">EMB BATOQUE 11MM ABS </t>
  </si>
  <si>
    <t>PC</t>
  </si>
  <si>
    <t>DEL POZZO</t>
  </si>
  <si>
    <t>EMB BATOQUE 19.5 (PARA PET DE ROSCA 24)</t>
  </si>
  <si>
    <t xml:space="preserve">M J COMERCIO </t>
  </si>
  <si>
    <t>EMB BATOQUE COM HASTE PARA AMOSTRAS</t>
  </si>
  <si>
    <t>OCIPLEX</t>
  </si>
  <si>
    <t>EMB BATOQUE P/ OG R24</t>
  </si>
  <si>
    <t>EMB BATOQUE P/ OG R28</t>
  </si>
  <si>
    <t xml:space="preserve">EMB BATOQUE REDUTOR VAZAO GARGALO 28 </t>
  </si>
  <si>
    <t xml:space="preserve">ITALI INDUSTRIAL E COMERCIAL </t>
  </si>
  <si>
    <t>EMB BATOQUE VEDACAO 8 MM (P/ REFIL)</t>
  </si>
  <si>
    <t>MARIA NECI</t>
  </si>
  <si>
    <t>EMB BISNAGA FACIAL DOLOMITA BRANCA 60G</t>
  </si>
  <si>
    <t>OUTLABEL</t>
  </si>
  <si>
    <t>EMB BISNAGA FACIAL PEROLA BEGE 60G</t>
  </si>
  <si>
    <t>EMB BISNAGA FACIAL TURMALINA PRETA 60G</t>
  </si>
  <si>
    <t>EMB BISNAGA FACIAL ZEOLITA VERDE 60G</t>
  </si>
  <si>
    <t>EMB BISNAGA GEL DE MAGNESIO CELUFIT 200G</t>
  </si>
  <si>
    <t>CREMES E GÉIS</t>
  </si>
  <si>
    <t>EMB BISNAGA GEL DE MAGNESIO LEGS 200G</t>
  </si>
  <si>
    <t>EMB BISNAGA GEL DE MAGNESIO MAGGEL 200G</t>
  </si>
  <si>
    <t>EMB BISNAGA GEL DE MAGNESIO SPORT 200G</t>
  </si>
  <si>
    <t>GÉIS</t>
  </si>
  <si>
    <t>EMB BISNAGA GEL DE MAGNESIO TERMO 200G</t>
  </si>
  <si>
    <t>EMB BOB. ALUMÍNIO 198MMX24,3GM</t>
  </si>
  <si>
    <t>CROMUS</t>
  </si>
  <si>
    <t>OBJETOS/MOVEIS/UTENSILIOS</t>
  </si>
  <si>
    <t>EMB BOMBONA 20L VIRGEM RETANGULAR</t>
  </si>
  <si>
    <t>MEDPLAS SAUDE</t>
  </si>
  <si>
    <t xml:space="preserve">EMB BOMBONA 2L VIRGEM </t>
  </si>
  <si>
    <t xml:space="preserve">ARBRA COMERCIO E INDUSTRIA </t>
  </si>
  <si>
    <t>EMB BOMBONA 5L VIRGEM RETANGULAR</t>
  </si>
  <si>
    <t xml:space="preserve">EMB BULBO SILICONE </t>
  </si>
  <si>
    <t>MATRIZ COMERCIO</t>
  </si>
  <si>
    <t>EMB CAIXA 12 - CORTE VINCO</t>
  </si>
  <si>
    <t>WOODPEL INDUSTRIA</t>
  </si>
  <si>
    <t>EMB CAIXA 24 - CORTE VINCO</t>
  </si>
  <si>
    <t>EMB CAIXA DE LIVRO 01 - MAIOR</t>
  </si>
  <si>
    <t xml:space="preserve">EMB CAIXA DE LIVRO 02 - MENOR </t>
  </si>
  <si>
    <t>EMB CAIXA DE LIVROS (CX.09)</t>
  </si>
  <si>
    <t>EMB CAIXA DE LIVROS (NOVA) - 250x250x057</t>
  </si>
  <si>
    <t>TULIPACK EMBALAGENS</t>
  </si>
  <si>
    <t>EMB CAIXA DE PAPELAO - FERRAMENTA / FACA</t>
  </si>
  <si>
    <t>LOTUS</t>
  </si>
  <si>
    <t>EMB CAIXA DE PAPELAO 24</t>
  </si>
  <si>
    <t>EMB CAIXA DE PAPELÃO 6 POTES DE 500G COM DIVISORIA</t>
  </si>
  <si>
    <t xml:space="preserve">EMB CAIXA DE PAPELÃO 9 </t>
  </si>
  <si>
    <t>EMB CAIXA DE PAPELAO GRANDE - ANTIGA</t>
  </si>
  <si>
    <t>EMB CAIXA DE PAPELAO OLEOS FERR. CONFECÇÃO</t>
  </si>
  <si>
    <t>EMB CAIXA DE PAPELÃO ONDULADO 12</t>
  </si>
  <si>
    <t>EMB CAIXA DE PAPELAO P</t>
  </si>
  <si>
    <t>EMB CAIXA DE PAPELAO PP</t>
  </si>
  <si>
    <t>PRIME</t>
  </si>
  <si>
    <t>EMB CAIXA DISPLAY CHOCOLATE 10 UNIDADES COM BERÇO</t>
  </si>
  <si>
    <t>EMB CAIXA DISPLAY CHOCOLATE 20 UNIDADES COM BERÇO</t>
  </si>
  <si>
    <t>EMB CAIXA DISPLAY MIÓ</t>
  </si>
  <si>
    <t>FM IMPRESSOS</t>
  </si>
  <si>
    <t>EMB CAIXA GG</t>
  </si>
  <si>
    <t>EMB CAIXA KIT 13 AROMAS</t>
  </si>
  <si>
    <t>EMB CAIXA KIT ESSENCIALMENTE YOGA</t>
  </si>
  <si>
    <t>EMB CAIXA KIT MAHALILAH 2ª EDIÇÃO</t>
  </si>
  <si>
    <t>EMB CAIXA KIT PERFUMARIA</t>
  </si>
  <si>
    <t>EMB CAIXA KIT VIBRAÇAO</t>
  </si>
  <si>
    <t>EMB CAIXA LJ</t>
  </si>
  <si>
    <t>EMB CAIXA MINI - CORTE VINCO</t>
  </si>
  <si>
    <t>EMB CAIXA ÓLEOS CORTE E VINCO</t>
  </si>
  <si>
    <t>EMB CAIXA P - CORTE VINCO</t>
  </si>
  <si>
    <t>EMB CAIXA PARA ENVIO DOS KITS - CORTE E VINCO</t>
  </si>
  <si>
    <t>EMB CAIXA POMADA AROMARESCUE</t>
  </si>
  <si>
    <t>EMB CAIXA POMADA ICE RUB</t>
  </si>
  <si>
    <t>EMB CAIXA POMADA MELALEUCA</t>
  </si>
  <si>
    <t>EMB CAIXA PP - CORTE VINCO</t>
  </si>
  <si>
    <t>EMB CAIXA ROLL-ON ADAPTAÇAO</t>
  </si>
  <si>
    <t>EMB CAIXA ROLL-ON AFRODISIACO</t>
  </si>
  <si>
    <t>EMB CAIXA ROLL-ON ALEGRIA</t>
  </si>
  <si>
    <t>EMB CAIXA ROLL-ON ALIVIUM</t>
  </si>
  <si>
    <t>EMB CAIXA ROLL-ON ANTI TABACO</t>
  </si>
  <si>
    <t>EMB CAIXA ROLL-ON ENERGIA</t>
  </si>
  <si>
    <t>EMB CAIXA ROLL-ON ESTUDO</t>
  </si>
  <si>
    <t>EMB CAIXA ROLL-ON LEVE-MENTE</t>
  </si>
  <si>
    <t>EMB CAIXA ROLL-ON NO STRESS</t>
  </si>
  <si>
    <t>EMB CAIXA ROLL-ON SACIEDADE</t>
  </si>
  <si>
    <t>EMB CAIXA ROLL-ON SONHANDO</t>
  </si>
  <si>
    <t>EMB CAIXA SERUM CLEOPATRA COMPLETO</t>
  </si>
  <si>
    <t xml:space="preserve">EMB CAMA INTERNA - CAIXA SERUM CLEOPATRA </t>
  </si>
  <si>
    <t>GRAFICA HOLLYDAY</t>
  </si>
  <si>
    <t>ROTULOS</t>
  </si>
  <si>
    <t xml:space="preserve">EMB CANULA 60MM </t>
  </si>
  <si>
    <t>EMB CARTÃO LASZLO 7X5</t>
  </si>
  <si>
    <t>EMB CARTELA AMOSTRAS</t>
  </si>
  <si>
    <t>FORMATO</t>
  </si>
  <si>
    <t xml:space="preserve">EMB CASCAZIL </t>
  </si>
  <si>
    <t>EMB CASCAZIL BIPARTIDO</t>
  </si>
  <si>
    <t>EMB CHAPA PAPELÃO 1800 x 580</t>
  </si>
  <si>
    <t>EMB CONS BOMBONA 5L</t>
  </si>
  <si>
    <t>EMB CONS GALAO 2L</t>
  </si>
  <si>
    <t>EMB DADO GRANDE MAHA LILAH</t>
  </si>
  <si>
    <t xml:space="preserve">EUCLIDES </t>
  </si>
  <si>
    <t>EMB DADO MEDIO MAHA LILAH</t>
  </si>
  <si>
    <t xml:space="preserve">EMB DISCO DE POLEXAN 83,5 X 1 </t>
  </si>
  <si>
    <t>EMB DIVISORIAS CX PP - GRADINHAS</t>
  </si>
  <si>
    <t>EMB ELASTICO REAL ROLIÇO EXTRA PRETO 1,8MMX100M10R</t>
  </si>
  <si>
    <t xml:space="preserve">ALPINO LINHAS </t>
  </si>
  <si>
    <t xml:space="preserve">EMB EXTRUSADO DE MILHO ECO-FILL </t>
  </si>
  <si>
    <t>ECO FILL</t>
  </si>
  <si>
    <t xml:space="preserve">EMB FITA ADESIVA 3M TRANSPARENTE 45MM X 45MM </t>
  </si>
  <si>
    <t>PORT DISTRIBUIDORA</t>
  </si>
  <si>
    <t xml:space="preserve">EMB FITA ADESIVA TRANSPARENTE 48MM X 50MM </t>
  </si>
  <si>
    <t xml:space="preserve">CD EMBALAGENS </t>
  </si>
  <si>
    <t>EMB FITA DUREX PERSONALIZADA</t>
  </si>
  <si>
    <t>EMB FITA GOMADA 80MM</t>
  </si>
  <si>
    <t>SOMAPEL</t>
  </si>
  <si>
    <t>EMB FITA OLFATIVA</t>
  </si>
  <si>
    <t>KOPIEHAUS</t>
  </si>
  <si>
    <t>EMB FLACONETE 1ML ALECRIM QT CANFORA</t>
  </si>
  <si>
    <t>EMB FLACONETE 1ML CAPIM LIMAO CIDREIRA</t>
  </si>
  <si>
    <t>EMB FLACONETE 1ML CITRONELA</t>
  </si>
  <si>
    <t>EMB FLACONETE 1ML HORTELA PIMENTA</t>
  </si>
  <si>
    <t>EMB FLACONETE 1ML SN SINUS OIL</t>
  </si>
  <si>
    <t>EMB FLACONETE 1ML TEA TREE GT AUSTRALIA</t>
  </si>
  <si>
    <t>EMB FOLHETO KIT 13 AROMAS 15X21</t>
  </si>
  <si>
    <t>BH GRAFICA</t>
  </si>
  <si>
    <t>FRAGANCIAS</t>
  </si>
  <si>
    <t xml:space="preserve">EMB FOLHETO ROLL-ON </t>
  </si>
  <si>
    <t>EMB FRASCO 10 ML ALTO</t>
  </si>
  <si>
    <t>EMB FRASCO 15ML</t>
  </si>
  <si>
    <t xml:space="preserve">FARMATRIZ EMBALAGENS </t>
  </si>
  <si>
    <t>EMB FRASCO 4,5 ML - LISO</t>
  </si>
  <si>
    <t>EXPRIME</t>
  </si>
  <si>
    <t>FRASCOS</t>
  </si>
  <si>
    <t>EMB FRASCO 4,5 ML OE ALECRIM QT CINEOL GT TUNISIA</t>
  </si>
  <si>
    <t>VITREON</t>
  </si>
  <si>
    <t>FRASCO</t>
  </si>
  <si>
    <t>EMB FRASCO 4,5 ML OE CAPIM LIMÃO CIDREIRA</t>
  </si>
  <si>
    <t>EMB FRASCO 4,5 ML OE EUCALIPTO GLOBULUS 80/85</t>
  </si>
  <si>
    <t xml:space="preserve">EMB FRASCO 4,5 ML OE HORTELA PIMENTA - GT EUA </t>
  </si>
  <si>
    <t>EMB FRASCO 4,5 ML OE LARANJA PERA (DOCE) GT BRASIL</t>
  </si>
  <si>
    <t>EMB FRASCO 4,5 ML OE LAVANDA FINA GT FRANCA</t>
  </si>
  <si>
    <t>EMB FRASCO 4,5 ML OE LIMAO SICILIANO VERDE</t>
  </si>
  <si>
    <t xml:space="preserve">EMB FRASCO 4,5 ML OE NARDO VERDE GT NEPAL </t>
  </si>
  <si>
    <t>EMB FRASCO 4,5 ML OE PINHEIRO SILVESTRE GT HUNGRIA</t>
  </si>
  <si>
    <t>EMB FRASCO 4,5 ML OE SALVIA DALMACIANA GT FRANCA</t>
  </si>
  <si>
    <t>EMB FRASCO 4,5 ML OE SANDALO MYSORE 10% GT INDIA</t>
  </si>
  <si>
    <t>EMB FRASCO 4,5 ML OE TOMILHO BRANCO QT TIMOL</t>
  </si>
  <si>
    <t>EMB FRASCO 4,5 ML OE VETIVER GT INDONESIA (JAVA)</t>
  </si>
  <si>
    <t>EMB FRASCO AMBAR 10 ML</t>
  </si>
  <si>
    <t>A NOVA EMBALAGENS</t>
  </si>
  <si>
    <t>EMB FRASCO AMBAR 50 ML</t>
  </si>
  <si>
    <t>EMB FRASCO AMBAR 60 ML R24</t>
  </si>
  <si>
    <t>EMB FRASCO DROPPER 30 ML R 20/410</t>
  </si>
  <si>
    <t xml:space="preserve">EMB FRASCO ELEGANCE 120ML 24/410 PEROLA </t>
  </si>
  <si>
    <t>EMB FRASCO ELEGANCE 200ML CRISTAL LAPIDADO P BO</t>
  </si>
  <si>
    <t>EMB FRASCO LONG NECK 300ML PARA HIDROLATO</t>
  </si>
  <si>
    <t>EMB FRASCO OG 500ML</t>
  </si>
  <si>
    <t>MASTER PUMPS</t>
  </si>
  <si>
    <t>EMB FRASCO PET 24-200 ML AMBAR</t>
  </si>
  <si>
    <t>EMB FRASCO PET AMBAR 100ML C/ R24MM</t>
  </si>
  <si>
    <t>EMVIPLAS</t>
  </si>
  <si>
    <t xml:space="preserve">EMB FRASCO PET AMBAR R24 120ML  </t>
  </si>
  <si>
    <t>GERRESHEIMER PLASTICOS</t>
  </si>
  <si>
    <t xml:space="preserve">EMB FRASCO PET AMBAR R28 120ML </t>
  </si>
  <si>
    <t>EMB FRASCO PLASTICO 28/410 - 500 ML AMBAR</t>
  </si>
  <si>
    <t xml:space="preserve">EMB FRASCO VIDRO CAPTURE DOURADO 30ML </t>
  </si>
  <si>
    <t>VEPAKUM</t>
  </si>
  <si>
    <t>EMB FRASCO VIDRO ROLL ON 10ML COM TAMPA PRATA</t>
  </si>
  <si>
    <t>EMB GOTEJADOR - LARGO</t>
  </si>
  <si>
    <t>EMB GOTEJADOR - PADRAO</t>
  </si>
  <si>
    <t xml:space="preserve">EMB GOTEJADOR CAPTURE DOURADO </t>
  </si>
  <si>
    <t>EMB GOTEJADOR ROSCA 18MM COM RESPIRO - AMOSTRA</t>
  </si>
  <si>
    <t>EMB INSERTO BIPARTIDO PARA POTE DE 300ML TRANSP.</t>
  </si>
  <si>
    <t>EMB INSERTO PARA POTE DE 100ML PEROLA 3MB</t>
  </si>
  <si>
    <t>EMB INSERTO PARA POTE DE 200ML PEROLA 2M</t>
  </si>
  <si>
    <t>EMB INSERTO PARA POTE DE 300ML PEROLA</t>
  </si>
  <si>
    <t xml:space="preserve">EMB INSERTO PLÁSTICO FRASCO CAPTURE </t>
  </si>
  <si>
    <t>EMB LACRE DE SEGURANÇA POTE 500ML</t>
  </si>
  <si>
    <t>FITATEX</t>
  </si>
  <si>
    <t>EMB MINI VALVULA 24/410 - PRETO</t>
  </si>
  <si>
    <t>LEADPAK</t>
  </si>
  <si>
    <t>EMB PANO MAHA LILAH 2ª EDIÇÃO</t>
  </si>
  <si>
    <t>MT</t>
  </si>
  <si>
    <t>DUBLAGEM</t>
  </si>
  <si>
    <t>EMB PANO PARA BABAÇU 500ML</t>
  </si>
  <si>
    <t>DREAM ESTAMPARIA</t>
  </si>
  <si>
    <t>EMB PANO PARA PALMISTE 500ML</t>
  </si>
  <si>
    <t xml:space="preserve">EMB PIPETA PASTEUR DESCARTÁVEL GRADUADA 3 ML </t>
  </si>
  <si>
    <t>AG COMERCIO</t>
  </si>
  <si>
    <t>EMB POTE 500ML COCO PALMISTE</t>
  </si>
  <si>
    <t>INPLAVEL</t>
  </si>
  <si>
    <t>POTE</t>
  </si>
  <si>
    <t>EMB POTE CRISTAL 40ML C/ TAMPA DE PRESSÃO</t>
  </si>
  <si>
    <t>G. H. FIGUEIREDO</t>
  </si>
  <si>
    <t>EMB POTE DE VIDRO 600ML CONSERVA GAR74 ARA</t>
  </si>
  <si>
    <t>ACQUA MINEIRA</t>
  </si>
  <si>
    <t>EMB POTE DE VIDRO 600ML CONSERVA GAR74 OI</t>
  </si>
  <si>
    <t>EMB POTE DE VIDRO 600ML DIAM 85 ( P/ POTE COCO )</t>
  </si>
  <si>
    <t>NADIR FIGUEIREDO</t>
  </si>
  <si>
    <t>EMB POTE IMAGINARE 120G BRANCO</t>
  </si>
  <si>
    <t>DECORBEL</t>
  </si>
  <si>
    <t>EMB POTE IMAGINARE 1KG PE LEITOSO</t>
  </si>
  <si>
    <t>EMB POTE PET ROSCA/LACRE 500ML (PALMISTE)</t>
  </si>
  <si>
    <t>PETINPACK INDUSTRIA</t>
  </si>
  <si>
    <t>EMB POTE PL.PLASUTIL 0,9L 2297 BR</t>
  </si>
  <si>
    <t>ORMIMAQ</t>
  </si>
  <si>
    <t>EMB POTE PREMIUM 100ML PEROLA 3MB 25, 5G S DEC</t>
  </si>
  <si>
    <t>EMB POTE PREMIUM 300ML CRISTAL LAPIDADO</t>
  </si>
  <si>
    <t>EMB POTE TRADITION 200ML CRISTAL LAPIDADO</t>
  </si>
  <si>
    <t>EMB POTE TRANSPARENTE 600 ML</t>
  </si>
  <si>
    <t>EMB SACHÊ SUP 100TZ TRANSP. C/ZIPER CX 500 UND</t>
  </si>
  <si>
    <t>TRAD POUCH</t>
  </si>
  <si>
    <t>EMB SACO BD 40X60X0,010</t>
  </si>
  <si>
    <t>PCT</t>
  </si>
  <si>
    <t>PLASTILEO</t>
  </si>
  <si>
    <t>EMB SACO BD 60X90X0,010</t>
  </si>
  <si>
    <t>EMB SACO PARA ARGILA 1KG CX 500UND</t>
  </si>
  <si>
    <t>TRADBOR</t>
  </si>
  <si>
    <t>EMB SACO POUCH 100MZ METALIZADO C/ ZIPER</t>
  </si>
  <si>
    <t>EMB SACO ZIP 6X10.5 CM</t>
  </si>
  <si>
    <t>EMB SAQ ORGANZA 07X09 LISO C/10</t>
  </si>
  <si>
    <t xml:space="preserve">REI DOS ESTOJOS </t>
  </si>
  <si>
    <t xml:space="preserve">EMB SLEEVE LACRE </t>
  </si>
  <si>
    <t>EMB SLEEVE LACRE GRANDE 298X203</t>
  </si>
  <si>
    <t>EMB SLEEVE LACRE GRANDE COM PICOTES 314X137MM</t>
  </si>
  <si>
    <t>EMB SLEEVE LACRE PICOTES C/SETA 316X76MM</t>
  </si>
  <si>
    <t>EMB SLEEVE LACRE POTE 300x54,7MM</t>
  </si>
  <si>
    <t>EMB SLEEVE LACRE RASGUE AQUI 85X68MM</t>
  </si>
  <si>
    <t>EMB SOBRETAMPA ELEGANCE PARA ANEL CRISTAL LAPIDADO</t>
  </si>
  <si>
    <t>EMB SOBRETAMPA ELEGANCE SAN 60/120ML CRISTAL</t>
  </si>
  <si>
    <t>TAMPA</t>
  </si>
  <si>
    <t>EMB SOBRETAMPA FRASCO ONIX 200ML</t>
  </si>
  <si>
    <t>EMB TAG PARA POTE DE 500ML</t>
  </si>
  <si>
    <t xml:space="preserve">EMB TAMPA 74MM BRANCA </t>
  </si>
  <si>
    <t>EMB TAMPA ALUMÍNIO 24MM PRETO M-008 C/D ALT 15MM</t>
  </si>
  <si>
    <t>MARCATTO</t>
  </si>
  <si>
    <t>EMB TAMPA ALUMINIO PARA ARGILA</t>
  </si>
  <si>
    <t>ALTEC</t>
  </si>
  <si>
    <t>EMB TAMPA APLICADORA ABS</t>
  </si>
  <si>
    <t xml:space="preserve">PLASTICOS BAHI </t>
  </si>
  <si>
    <t>EMB TAMPA ARJEK BR-1 85 - ESMALTADA C/GARRAS POTES</t>
  </si>
  <si>
    <t>METALGRÁFICA ROJEK LTDA</t>
  </si>
  <si>
    <t>EMB TAMPA BALDE 3,2L</t>
  </si>
  <si>
    <t>EMB TAMPA BALDE 5L</t>
  </si>
  <si>
    <t>EMB TAMPA BRANCA C/SELO DE INDUÇÃO (PALMISTE)</t>
  </si>
  <si>
    <t>EMB TAMPA BRANCA COM FURO</t>
  </si>
  <si>
    <t>EMB TAMPA BRANCA LEITOSO 120G</t>
  </si>
  <si>
    <t>EMB TAMPA BRANCA POTE 1 KG COM FRIZO DOURADO</t>
  </si>
  <si>
    <t>EMB TAMPA BRANCA POTE 1 KG COM FRIZO PRATEADO</t>
  </si>
  <si>
    <t>EMB TAMPA DROPPER R20/410 DOURADA</t>
  </si>
  <si>
    <t>EMB TAMPA FLIP TOP BRANCO (BISNAGA GEL MAGNESIO)</t>
  </si>
  <si>
    <t>EMB TAMPA FLIP TOP BRANCO (BISNAGA MASCARAS)</t>
  </si>
  <si>
    <t>EMB TAMPA OE 10 ML C/LACRE R.18</t>
  </si>
  <si>
    <t xml:space="preserve">EMB TAMPA OG DOURADA 120 ML 24MM </t>
  </si>
  <si>
    <t>EMB TAMPA OG DOURADA 500 ML</t>
  </si>
  <si>
    <t>EMB TAMPA PARA POTE DE 200/240/300/500/1</t>
  </si>
  <si>
    <t>EMB TAMPA PARA POTE PREMIUM 300ML PEROLA</t>
  </si>
  <si>
    <t>EMB TAMPA PARA POTE PREMIUM DE 100ML PEROLA 3MB</t>
  </si>
  <si>
    <t>EMB TAMPA PLASTICA C/LACRE DENTADO 24/410 PRETA</t>
  </si>
  <si>
    <t>EMB TAMPA PRETA</t>
  </si>
  <si>
    <t>EMB TAMPA PRETA C/LACRE 28MM (DESATIVADA)</t>
  </si>
  <si>
    <t>EMB TAMPA PRETA OG 60/200 ML C/LACRE R.24</t>
  </si>
  <si>
    <t>EMB TAMPA PRETA R28MM - GARGALO ALTO</t>
  </si>
  <si>
    <t>IBP PLASTIC</t>
  </si>
  <si>
    <t>EMB TAMPA ROSA</t>
  </si>
  <si>
    <t>EMB TAMPA ROSCA PRETA 13MM PARA 1ML</t>
  </si>
  <si>
    <t>EMB TAMPA ROSCA PRETA 13MM PARA 4,5ML</t>
  </si>
  <si>
    <t>EMB VALVULA 24/410 PRETA PARA HIDROSSOL</t>
  </si>
  <si>
    <t>EMB VALVULA ARO 28 SPRAY PRATA CAPUZ LUXO</t>
  </si>
  <si>
    <t>FRANKLIN EMBALAGENS</t>
  </si>
  <si>
    <t>EMB VALVULA BORRIFADOR 24/410</t>
  </si>
  <si>
    <t xml:space="preserve">EMB VALVULA CREAM PUMP 24/410 ICE COM ATUADOR </t>
  </si>
  <si>
    <t>EMBALAGENS CHOCOLATE AO LEITE 40% 100G</t>
  </si>
  <si>
    <t>EMBALAGENS CHOCOLATE AO LEITE COM ÔMEGA 3 40% 80G</t>
  </si>
  <si>
    <t>EMBALAGENS CHOCOLATE BRANCO BETULA DEFUMADA E BARU</t>
  </si>
  <si>
    <t>EMBALAGENS CHOCOLATE BRANCO ERVA DOCE COM CASTANHA</t>
  </si>
  <si>
    <t>EMBALAGENS CHOCOLATE BRANCO JASMIM COM LEITE COCO</t>
  </si>
  <si>
    <t>EMBALAGENS CHOCOLATE BRANCO LARANJA, PASSA E CASTA</t>
  </si>
  <si>
    <t>EMBALAGENS CHOCOLATE BRANCO MOUSSE DE LIMÃO-SICI</t>
  </si>
  <si>
    <t>EMBALAGENS CHOCOLATE BRANCO ROSAS COM FLORES HIBIS</t>
  </si>
  <si>
    <t>EMBALAGENS CHOCOLATE BRANCO VEGANO MOUSSE DE LIMÃO</t>
  </si>
  <si>
    <t>EMBALAGENS CHOCOLATE CANELA COM CAFÉ 60% 80G</t>
  </si>
  <si>
    <t xml:space="preserve">EMBALAGENS CHOCOLATE GENGIBRE COM RASPAS DE LIMÃO </t>
  </si>
  <si>
    <t>EMBALAGENS CHOCOLATE GOLDEN CHAI 41% 80G</t>
  </si>
  <si>
    <t>EMBALAGENS CHOCOLATE GOLDEN CHAI 42% 100G</t>
  </si>
  <si>
    <t>EMBALAGENS CHOCOLATE HORTELA COM OMEGA 3 60% 100G</t>
  </si>
  <si>
    <t xml:space="preserve">EMBALAGENS CHOCOLATE HORTELÃ FONTE DE ÔMEGA 3 60% </t>
  </si>
  <si>
    <t>EMBALAGENS CHOCOLATE LAVANDA COM AMENDOAS 100G</t>
  </si>
  <si>
    <t>EMBALAGENS CHOCOLATE MOUSSE DE LIMAO 100G</t>
  </si>
  <si>
    <t>EMBALAGENS CHOCOLATE ORÉGANO COM MANJERONA E AMÊND</t>
  </si>
  <si>
    <t>EMBALAGENS CHOCOLATE PATCHOULI COM TÂMARAS 50% 80G</t>
  </si>
  <si>
    <t xml:space="preserve">EMBALAGENS CHOCOLATE PIMENTA MALAGUETA COM FIGO </t>
  </si>
  <si>
    <t>EMBALAGENS CHOCOLATE VEGANO 70% 100G</t>
  </si>
  <si>
    <t>EMBALAGENS CHOCOLATE VEGANO CACAU 70% 80G</t>
  </si>
  <si>
    <t>EMBALAGENS CHOCOLATE VEGANO CONHAQUE COM UVA PASSA</t>
  </si>
  <si>
    <t xml:space="preserve">EMBALAGENS CHOCOLATE VEGANO GENGIBRE E LIMÃO </t>
  </si>
  <si>
    <t>EMBALAGENS CHOCOLATE VEGANO JASMIM LEITE DE COCO</t>
  </si>
  <si>
    <t xml:space="preserve">EMBALAGENS CHOCOLATE VEGANO LAVANDA COM AMÊNDOAS </t>
  </si>
  <si>
    <t>EMBALAGENS CHOCOLATE VEGANO PATCHOULI TÂM. 50% 80G</t>
  </si>
  <si>
    <t>EMBALAGENS CHOCOLATE VETIVER COM FUNGHI 55% 80G</t>
  </si>
  <si>
    <t>ENVASE ALLWISH CO 10ML</t>
  </si>
  <si>
    <t>PRODUÇÃO</t>
  </si>
  <si>
    <t>ENVASE ALLWISH CO 1KG</t>
  </si>
  <si>
    <t>ENVASE ALLWISH CO 200G</t>
  </si>
  <si>
    <t>ENVASE ALLWISH CO 240G</t>
  </si>
  <si>
    <t>ENVASE ALLWISH CO MANTEIGA 100G</t>
  </si>
  <si>
    <t>ENVASE ALLWISH OG 15 ML</t>
  </si>
  <si>
    <t>ENVASE ALLWISH OG 200 ML</t>
  </si>
  <si>
    <t>ENVASE LASZLO AROMAS</t>
  </si>
  <si>
    <t>UND</t>
  </si>
  <si>
    <t>LASZLO AROMAS</t>
  </si>
  <si>
    <t>ENVASE ORMIFARMA 0,5ML E PROVADOR 1ML</t>
  </si>
  <si>
    <t>ORMIFARMA</t>
  </si>
  <si>
    <t>ENVASE ORMIFARMA ALCOOL EM GEL</t>
  </si>
  <si>
    <t>ENVASE ORMIFARMA BORRIFADOR</t>
  </si>
  <si>
    <t>ENVASE ORMIFARMA CB 100G</t>
  </si>
  <si>
    <t>ENVASE ORMIFARMA CO 1KG</t>
  </si>
  <si>
    <t>ENVASE ORMIFARMA CO 200G</t>
  </si>
  <si>
    <t>ENVASE ORMIFARMA CO GEL DE MAGNESIO 200G</t>
  </si>
  <si>
    <t>ENVASE ORMIFARMA CO MÁSCARA FACIAL 60G</t>
  </si>
  <si>
    <t>ENVASE ORMIFARMA GEL DE MAGNESIO</t>
  </si>
  <si>
    <t>ENVASE ORMIFARMA MANTEIGA 100G</t>
  </si>
  <si>
    <t>ENVASE ORMIFARMA OE 50ML</t>
  </si>
  <si>
    <t>ENVASE ORMIFARMA OE/ABS 5/10ML</t>
  </si>
  <si>
    <t>ENVASE ORMIFARMA OG 120ML</t>
  </si>
  <si>
    <t>ENVASE ORMIFARMA OG 15ML</t>
  </si>
  <si>
    <t>ENVASE ORMIFARMA OG 500ML</t>
  </si>
  <si>
    <t xml:space="preserve">ENVASE ORMIFARMA OR 10ML </t>
  </si>
  <si>
    <t>ENVASE ORMIFARMA POMADAS</t>
  </si>
  <si>
    <t>ENVASE ORMIFARMA ROLL ON</t>
  </si>
  <si>
    <t>ENVASE ORMIFARMA SERUM 30ML</t>
  </si>
  <si>
    <t>ENVASE ORMIFARMA SN/BL 10 ML</t>
  </si>
  <si>
    <t>ENVASE THERRA</t>
  </si>
  <si>
    <t>ETIQUETA ADESIVA PROVADOR</t>
  </si>
  <si>
    <t>WORKPRINT</t>
  </si>
  <si>
    <t>ETIQUETA ADESIVA REDONDA 10MM</t>
  </si>
  <si>
    <t>BH ETIQUETAS</t>
  </si>
  <si>
    <t>ETIQUETA CHOCOLATE 5G</t>
  </si>
  <si>
    <t>ETIQUETA CORRECAO INGREDIENTES HIDROLATO</t>
  </si>
  <si>
    <t xml:space="preserve">ETIQUETA CORRETIVA - CAIXA SERUM CLEOPATRA </t>
  </si>
  <si>
    <t>ETIQUETA CORRETIVA ALOEGEL ESFOLIANTE 200G</t>
  </si>
  <si>
    <t>ETIQUETA CORRETIVA CHOCOLATE BRANCO  MOUSSE FRENTE</t>
  </si>
  <si>
    <t>ETIQUETA CORRETIVA CHOCOLATE BRANCO  MOUSSE VERSO</t>
  </si>
  <si>
    <t>ETIQUETA CORRETIVA CHOCOLATE BRANCO VEGANO JASMIM</t>
  </si>
  <si>
    <t>ETIQUETA CORRETIVA CHOCOLATE BRANCO VEGANO MOUSSE</t>
  </si>
  <si>
    <t xml:space="preserve">ETIQUETA CORRETIVA CHOCOLATE DE BETULA </t>
  </si>
  <si>
    <t>ETIQUETA CORRETIVA CHOCOLATE DE CONHAQUE VERDE</t>
  </si>
  <si>
    <t>ETIQUETA CORRETIVA CHOCOLATE DE GENGIBRE</t>
  </si>
  <si>
    <t>ETIQUETA CORRETIVA CHOCOLATE DE LAVANDA FINA</t>
  </si>
  <si>
    <t>ETIQUETA CORRETIVA CHOCOLATE DE PATCHOULI</t>
  </si>
  <si>
    <t>ETIQUETA CORRETIVA CHOCOLATE DE PIMENTA MALAGUETA</t>
  </si>
  <si>
    <t xml:space="preserve">ETIQUETA CORRETIVA CHOCOLATE DE VETIVER </t>
  </si>
  <si>
    <t>ETIQUETA CORRETIVA KIT 13 AROMAS</t>
  </si>
  <si>
    <t>ETIQUETA CORRETIVA MY CREAM PELES NORMAIS E OLEOSA</t>
  </si>
  <si>
    <t>ETIQUETA CORRETIVA ROLL-ON ADAPTAÇÃO 30X127</t>
  </si>
  <si>
    <t>ETIQUETA CORRETIVA ROLL-ON ALEGRIA 30X127</t>
  </si>
  <si>
    <t>ETIQUETA CORRETIVA ROLL-ON ALIVIUM 28X78</t>
  </si>
  <si>
    <t>ETIQUETA CORRETIVA ROLL-ON ALIVIUM 30X127</t>
  </si>
  <si>
    <t>ETIQUETA CORRETIVA ROLL-ON ANTITABACO 30X127</t>
  </si>
  <si>
    <t>ETIQUETA CORRETIVA ROLL-ON ENERGIA 30X127</t>
  </si>
  <si>
    <t>ETIQUETA CORRETIVA ROLL-ON ESTUDO 30X127</t>
  </si>
  <si>
    <t>ETIQUETA CORRETIVA ROLL-ON NO STRESS 30X127</t>
  </si>
  <si>
    <t>ETIQUETA CORRETIVA ROLL-ON SACIEDADE 28X78</t>
  </si>
  <si>
    <t>ETIQUETA CORRETIVA ROLL-ON SACIEDADE 30X127</t>
  </si>
  <si>
    <t>ETIQUETA CORRETIVA ROLL-ON SONHANDO 30X127</t>
  </si>
  <si>
    <t>ETIQUETA EM PAPEL COUCHÊ 80X50</t>
  </si>
  <si>
    <t>RL</t>
  </si>
  <si>
    <t>S.E.A ETIQUETAS</t>
  </si>
  <si>
    <t>ETIQUETA FRASCO 4,5ML - KIT 13 AROMAS</t>
  </si>
  <si>
    <t>ETIQUETA IDENTIFICAÇÃO 35X80</t>
  </si>
  <si>
    <t>ETIQUETA IDENTIFICAÇÃO 55X105</t>
  </si>
  <si>
    <t xml:space="preserve">ETIQUETA INKJET/LASER A4367 COM 100 FLS </t>
  </si>
  <si>
    <t>LEPOK COMERCIO</t>
  </si>
  <si>
    <t xml:space="preserve">ETIQUETA LACRE 25X15MM </t>
  </si>
  <si>
    <t>ETIQUETA PARA SABONETE (BRINDE)</t>
  </si>
  <si>
    <t>ETIQUETA REDONDA TP-25 TRANSPARENTE 25 MM</t>
  </si>
  <si>
    <t>MUNDO BRAS</t>
  </si>
  <si>
    <t xml:space="preserve">EXC OE CARDAMOMO CO2-SE GT INDIA 5ML </t>
  </si>
  <si>
    <t>FIGO SECO TURCO 1KG</t>
  </si>
  <si>
    <t>FORMULA BL AMBAR FOSSIL 5 ML</t>
  </si>
  <si>
    <t xml:space="preserve">FORMULA BL GLICÍNIA </t>
  </si>
  <si>
    <t>FORMULA BL LIRIO DO VALE 5 ML</t>
  </si>
  <si>
    <t>FORMULA BO 4 LADRÕES</t>
  </si>
  <si>
    <t>FORMULA BO 7 ERVAS</t>
  </si>
  <si>
    <t>FORMULA BO ALTO ASTRAL</t>
  </si>
  <si>
    <t>LASZLO</t>
  </si>
  <si>
    <t>FORMULA BO AMOR</t>
  </si>
  <si>
    <t>FORMULA BO AQUA SPA</t>
  </si>
  <si>
    <t>FORMULA BO CEU DE VERBENA</t>
  </si>
  <si>
    <t>FORMULA BO ESTUDO</t>
  </si>
  <si>
    <t>FORMULA BO FLOR DE YLANG</t>
  </si>
  <si>
    <t>FORMULA BO LIRIO BRANCO</t>
  </si>
  <si>
    <t>FORMULA BO MADEIRAS D ORIENTE</t>
  </si>
  <si>
    <t>FORMULA BO MAHALILAH</t>
  </si>
  <si>
    <t>FORMULA BO PROVENCE</t>
  </si>
  <si>
    <t>FORMULA BO REIKI</t>
  </si>
  <si>
    <t>FORMULA BO SANDALO</t>
  </si>
  <si>
    <t>FORMULA BOUQUET (BLEND) INCENSO 5 ML</t>
  </si>
  <si>
    <t>FORMULA BOUQUET VERBENA 10 ML</t>
  </si>
  <si>
    <t>FORMULA BOUQUET VERBENA 5 ML</t>
  </si>
  <si>
    <t>FORMULA CB CREAM 100G</t>
  </si>
  <si>
    <t>FORMULA CHOCOLATE AO LEITE COM ÔMEGA 3 40% 80G</t>
  </si>
  <si>
    <t xml:space="preserve">FORMULA CHOCOLATE BRANCO BETULA DEFUMADA E BARU </t>
  </si>
  <si>
    <t xml:space="preserve">FORMULA CHOCOLATE BRANCO ERVA DOCE COM CASTANHA </t>
  </si>
  <si>
    <t>FORMULA CHOCOLATE BRANCO LARANJA, PASSA E CASTANHA</t>
  </si>
  <si>
    <t>FORMULA CHOCOLATE BRANCO MOUSSE DE LIMÃO-SICILIANO</t>
  </si>
  <si>
    <t xml:space="preserve">FORMULA CHOCOLATE BRANCO ROSAS COM FLORES HIBISCO </t>
  </si>
  <si>
    <t>FORMULA CHOCOLATE BRANCO VEGANO MOUSSE DE LIMÃO</t>
  </si>
  <si>
    <t>FORMULA CHOCOLATE GOLDEN CHAI 41% 80G</t>
  </si>
  <si>
    <t>FORMULA CHOCOLATE HORTELÃ FONTE DE ÔMEGA 3 60% 80G</t>
  </si>
  <si>
    <t>FORMULA CHOCOLATE ORÉGANO COM MANJERONA E AMÊNDOAS</t>
  </si>
  <si>
    <t>FORMULA CHOCOLATE PIMENTA MALAGUETA COM FIGO</t>
  </si>
  <si>
    <t>FORMULA CHOCOLATE VEGANO CACAU 70% 80G</t>
  </si>
  <si>
    <t>FORMULA CHOCOLATE VEGANO CONHAQUE COM UVA PASSAS</t>
  </si>
  <si>
    <t>FORMULA CHOCOLATE VEGANO GENGIBRE E LIMÃO 55% 80G</t>
  </si>
  <si>
    <t xml:space="preserve">FORMULA CHOCOLATE VEGANO JASMIM COM LEITE DE COCO </t>
  </si>
  <si>
    <t xml:space="preserve">FORMULA CHOCOLATE VEGANO LAVANDA COM AMÊNDOAS 56% </t>
  </si>
  <si>
    <t>FORMULA CHOCOLATE VEGANO PATCHOULI TÂMARAS 50% 80G</t>
  </si>
  <si>
    <t>FORMULA CO ALOEGEL 1KG</t>
  </si>
  <si>
    <t>FORMULA CO ALOEGEL 200G</t>
  </si>
  <si>
    <t>FORMULA CO ALOEGEL ESFOLIANTE 200G</t>
  </si>
  <si>
    <t>FORMULA CO CRISTAL PEELING</t>
  </si>
  <si>
    <t>FORMULA CO GEL DE MAGNESIO CELUFIT (ÓLEOS)</t>
  </si>
  <si>
    <t>FORMULA CO GEL DE MAGNESIO CELUFIT 200G</t>
  </si>
  <si>
    <t>FORMULA CO GEL DE MAGNESIO LEGS (ÓLEOS)</t>
  </si>
  <si>
    <t>FORMULA CO GEL DE MAGNESIO LEGS 200G</t>
  </si>
  <si>
    <t>FORMULA CO GEL DE MAGNESIO MAGGEL 200G</t>
  </si>
  <si>
    <t>FORMULA CO GEL DE MAGNESIO SPORT 200G</t>
  </si>
  <si>
    <t>FORMULA CO GEL DE MAGNESIO SPORT GEL (ÓLEOS)</t>
  </si>
  <si>
    <t>FORMULA CO GEL DE MAGNESIO TERMO (ÓLEOS)</t>
  </si>
  <si>
    <t xml:space="preserve">FORMULA CO GEL DE MAGNESIO TERMO 200G </t>
  </si>
  <si>
    <t>FORMULA CO GEL DE ULTRA ABSORÇÃO 200G</t>
  </si>
  <si>
    <t>FORMULA CO GEL NEUTRO 200G</t>
  </si>
  <si>
    <t>FORMULA CO GEL NEUTRO LINHA SPA 1KG</t>
  </si>
  <si>
    <t>FORMULA CO MANTEIGA MIX 100G</t>
  </si>
  <si>
    <t>FORMULA CO MY CREAM PELES NORMAIS 1KG</t>
  </si>
  <si>
    <t>FORMULA CO MY CREAM PELES NORMAIS 200G</t>
  </si>
  <si>
    <t>FORMULA CO MY CREAM PELES SECAS 1KG</t>
  </si>
  <si>
    <t>FORMULA CO MY CREAM PELES SECAS 200G</t>
  </si>
  <si>
    <t>FORMULA GOTAS CHOCOLATE AO LEITE 40% 100G</t>
  </si>
  <si>
    <t>FORMULA GOTAS CHOCOLATE BRANCO MOUSSE DE LIMÃO</t>
  </si>
  <si>
    <t>FORMULA GOTAS CHOCOLATE GOLDEN CHAI 42% 100G</t>
  </si>
  <si>
    <t>FORMULA GOTAS CHOCOLATE HORTELA COM OMEGA 3 100G</t>
  </si>
  <si>
    <t>FORMULA GOTAS CHOCOLATE LAVANDA COM AMENDOAS 100G</t>
  </si>
  <si>
    <t>FORMULA GOTAS CHOCOLATE MOUSSE DE LIMÃO 42% 100G</t>
  </si>
  <si>
    <t>FORMULA GOTAS CHOCOLATE VEGANO 70% 100G</t>
  </si>
  <si>
    <t>FORMULA OG MASOL CLÁSSICO 200ML</t>
  </si>
  <si>
    <t>FORMULA ROLL ON ADAPTAÇAO</t>
  </si>
  <si>
    <t>FORMULA ROLL ON AFRODISIACO</t>
  </si>
  <si>
    <t>FORMULA ROLL ON ALEGRIA E MOTIVAÇÃO</t>
  </si>
  <si>
    <t>FORMULA ROLL ON ANTI TABACO</t>
  </si>
  <si>
    <t>FORMULA ROLL ON ENERGIA E RENOVAÇÃO</t>
  </si>
  <si>
    <t xml:space="preserve">FORMULA ROLL ON FOCO E CONCENTRAÇÃO </t>
  </si>
  <si>
    <t>FORMULA ROLL ON LEVE-MENTE</t>
  </si>
  <si>
    <t>FORMULA ROLL ON NO STRESS</t>
  </si>
  <si>
    <t>FORMULA ROLL ON SACIEDADE</t>
  </si>
  <si>
    <t>FORMULA ROLL ON SONHANDO</t>
  </si>
  <si>
    <t>FORMULA SERUM CLEOPATRA 30ML</t>
  </si>
  <si>
    <t>FORMULA SN ALEGRIA E MOTIVAÇÃO 10 ML</t>
  </si>
  <si>
    <t>FORMULA SN ALEGRIA E MOTIVAÇÃO 5 ML</t>
  </si>
  <si>
    <t>FORMULA SN AROMA-REPEL 10 ML</t>
  </si>
  <si>
    <t>FORMULA SN AROMA-REPEL 5 ML</t>
  </si>
  <si>
    <t>FORMULA SN AROMAKIDS 10 ML</t>
  </si>
  <si>
    <t>FORMULA SN AROMAKIDS 5 ML</t>
  </si>
  <si>
    <t>FORMULA SN AROMARESCUE</t>
  </si>
  <si>
    <t>FORMULA SN CABELOS 10 ML</t>
  </si>
  <si>
    <t>FORMULA SN CHACKRA 1</t>
  </si>
  <si>
    <t>FORMULA SN CHACKRA 2</t>
  </si>
  <si>
    <t>FORMULA SN CHACKRA 3</t>
  </si>
  <si>
    <t>FORMULA SN CHACKRA 4</t>
  </si>
  <si>
    <t>FORMULA SN CHACKRA 5</t>
  </si>
  <si>
    <t>FORMULA SN CHACKRA 6</t>
  </si>
  <si>
    <t>FORMULA SN CHACKRA 7</t>
  </si>
  <si>
    <t>FORMULA SN CITRUS</t>
  </si>
  <si>
    <t>FORMULA SN ENERGIA E RENOVAÇAO 10 ML</t>
  </si>
  <si>
    <t>FORMULA SN ENERGIA E RENOVAÇAO 5 ML</t>
  </si>
  <si>
    <t>FORMULA SN FOCO E CONCENTRAÇÃO 10ML</t>
  </si>
  <si>
    <t>FORMULA SN FOCO E CONCENTRAÇÃO 5 ML</t>
  </si>
  <si>
    <t>FORMULA SN HOMEM 5 ML</t>
  </si>
  <si>
    <t>FORMULA SN IMUNIDADE</t>
  </si>
  <si>
    <t>FORMULA SN IMUNIS</t>
  </si>
  <si>
    <t>FORMULA SN INSPIRAÇÃO E CRIATIVIDADE 5 ML</t>
  </si>
  <si>
    <t>FORMULA SN MAHALILAH 20% 5ML</t>
  </si>
  <si>
    <t>FORMULA SN MULHER 10ML</t>
  </si>
  <si>
    <t>FORMULA SN OXYCLEAN</t>
  </si>
  <si>
    <t>FORMULA SN RAKU 10ML</t>
  </si>
  <si>
    <t>FORMULA SN WOMAN</t>
  </si>
  <si>
    <t xml:space="preserve">FORMULA VEGANO CHOCOLATE CANELA COM CAFÉ </t>
  </si>
  <si>
    <t xml:space="preserve">FUNGHI </t>
  </si>
  <si>
    <t>IGINO E FILHOS</t>
  </si>
  <si>
    <t>GENGIBRE CRISTALIZADO 450G</t>
  </si>
  <si>
    <t>MAZE DOCES</t>
  </si>
  <si>
    <t>GENGIBRE EM PÓ 500G</t>
  </si>
  <si>
    <t xml:space="preserve">HIBISCO PETALA </t>
  </si>
  <si>
    <t>Mundo verde (Bairro Buritis).</t>
  </si>
  <si>
    <t>HIDROLATO ALECRIM</t>
  </si>
  <si>
    <t>RODOLFO</t>
  </si>
  <si>
    <t>HIDROLATO</t>
  </si>
  <si>
    <t>HIDROLATO DE ALECRIM CINEOL</t>
  </si>
  <si>
    <t xml:space="preserve">HIDROLATO DE CAMOMILA </t>
  </si>
  <si>
    <t>CHAMEL</t>
  </si>
  <si>
    <t>HIDROLATO DE CAPIM LIMAO</t>
  </si>
  <si>
    <t>PAULO MARTINS</t>
  </si>
  <si>
    <t>HIDROLATO DE CARDAMOMO</t>
  </si>
  <si>
    <t>HIDROLATO DE CIPRESTE</t>
  </si>
  <si>
    <t>HIDROLATO DE CITRONELA</t>
  </si>
  <si>
    <t>HIDROLATO DE COENTRO SEMENTE</t>
  </si>
  <si>
    <t>HIDROLATO DE COLONIA DE JAVA</t>
  </si>
  <si>
    <t>HIDROLATO DE CURCUMA</t>
  </si>
  <si>
    <t>HIDROLATO DE ENDRO</t>
  </si>
  <si>
    <t>HIDROLATO DE ERVA BALEEIRA</t>
  </si>
  <si>
    <t>HIDROLATO DE ERVA DOCE</t>
  </si>
  <si>
    <t>HIDROLATO DE EUCALIPTO</t>
  </si>
  <si>
    <t>HIDROLATO DE EUCALIPTO DUNNI</t>
  </si>
  <si>
    <t>HIDROLATO DE FUNCHO DOCE</t>
  </si>
  <si>
    <t>HIDROLATO DE GENGIBRE</t>
  </si>
  <si>
    <t xml:space="preserve">HIDROLATO DE GERANIO </t>
  </si>
  <si>
    <t>HIDROLATO DE HORTELA BERGAMOTA</t>
  </si>
  <si>
    <t>HIDROLATO DE HORTELA PIMENTA</t>
  </si>
  <si>
    <t>HIDROLATO DE LAVANDA GT BULGARIA - AMOSTRA</t>
  </si>
  <si>
    <t>HIDROLATO DE LAVANDA VERDADEIRA</t>
  </si>
  <si>
    <t>HIDROLATO DE LIMAO CAPETA</t>
  </si>
  <si>
    <t>HIDROLATO DE LIRIO DO BREJO</t>
  </si>
  <si>
    <t>HIDROLATO DE MACELA</t>
  </si>
  <si>
    <t>HIDROLATO DE MANJERICAO</t>
  </si>
  <si>
    <t>LEGEÉ</t>
  </si>
  <si>
    <t>HIDROLATO DE MELISSA</t>
  </si>
  <si>
    <t>HIDROLATO DE OREGANO</t>
  </si>
  <si>
    <t>HIDROLATO DE PALMAROSA</t>
  </si>
  <si>
    <t>HIDROLATO DE PATCHOULI</t>
  </si>
  <si>
    <t>HIDROLATO DE PESSEGO FOLHAS</t>
  </si>
  <si>
    <t>HIDROLATO DE PITANGA FOLHAS</t>
  </si>
  <si>
    <t>HIDROLATO DE ROSA GT BULGARIA - AMOSTRA</t>
  </si>
  <si>
    <t>HIDROLATO DE TEA TREE</t>
  </si>
  <si>
    <t>ESTRELA DA MANHA</t>
  </si>
  <si>
    <t>HIDROLATO DE TOMILHO</t>
  </si>
  <si>
    <t>HIDROLATO DE TUIA MAÇA</t>
  </si>
  <si>
    <t>HIDROLATO DE VERBENA BRANCA</t>
  </si>
  <si>
    <t xml:space="preserve">INS ACETATO DE VERDILA PETITMARIE </t>
  </si>
  <si>
    <t>FAV</t>
  </si>
  <si>
    <t>INS ACETIL CARNITINA</t>
  </si>
  <si>
    <t>PURIFARMA</t>
  </si>
  <si>
    <t>INS ACETIL GLUCOSAMINA</t>
  </si>
  <si>
    <t>ACTIVE PHARMACEUTICA</t>
  </si>
  <si>
    <t xml:space="preserve">INS ACIDO CITRICO </t>
  </si>
  <si>
    <t xml:space="preserve">ENGENHARIA DAS ESSENCIAS </t>
  </si>
  <si>
    <t>INS ACIDO FERULICO 250G</t>
  </si>
  <si>
    <t xml:space="preserve">SM EMPREENDIMENTOS </t>
  </si>
  <si>
    <t>INS AEROSIL 200</t>
  </si>
  <si>
    <t>COSMOTEC</t>
  </si>
  <si>
    <t xml:space="preserve">INS AGAR PÓ </t>
  </si>
  <si>
    <t xml:space="preserve">INS AJIDEW ZN-100 5L </t>
  </si>
  <si>
    <t>QUANTIQ</t>
  </si>
  <si>
    <t>INS ALANTOINA</t>
  </si>
  <si>
    <t>FAGRON</t>
  </si>
  <si>
    <t>INS ALCOOL CETILICO</t>
  </si>
  <si>
    <t xml:space="preserve">INS ALCOOL CETOESTEARÍLICO </t>
  </si>
  <si>
    <t>INS ALCOOL DE CEREAIS</t>
  </si>
  <si>
    <t>EMFAL</t>
  </si>
  <si>
    <t>INS ALCOOL ETILICO HIDRAT. 92.8°</t>
  </si>
  <si>
    <t>INS ALDEIDO CINAMICO</t>
  </si>
  <si>
    <t>RINEN</t>
  </si>
  <si>
    <t>INS ALOE VERA PO 200:1</t>
  </si>
  <si>
    <t xml:space="preserve">INS ANFOTERO BETAINICO </t>
  </si>
  <si>
    <t>INS ARISTOFLEX AVL</t>
  </si>
  <si>
    <t>PHARMASPECIAL</t>
  </si>
  <si>
    <t>INS AZELOGLICINA 50G</t>
  </si>
  <si>
    <t>INS BETA IMUNOLIN</t>
  </si>
  <si>
    <t>GALENA</t>
  </si>
  <si>
    <t xml:space="preserve">INS BIOECOLIA </t>
  </si>
  <si>
    <t>SOLABIA BIOTECNOLOGICA</t>
  </si>
  <si>
    <t>INS BIOXAN T70</t>
  </si>
  <si>
    <t>BB QUIMICA</t>
  </si>
  <si>
    <t>INS BOUQUET 073748 SILVER BLACK</t>
  </si>
  <si>
    <t>INS BOUQUET 083993 ANGEL</t>
  </si>
  <si>
    <t>INS BOUQUET 083994 AQUA ARMANI</t>
  </si>
  <si>
    <t>INS BOUQUET 169353 (ANTIGO 073749)</t>
  </si>
  <si>
    <t>INS BOUQUET 8387 PERFUME ZINO</t>
  </si>
  <si>
    <t>INS BOUQUET 8392 (PERFUME PI)</t>
  </si>
  <si>
    <t>INS BROMELAINA BROMELINA 100G</t>
  </si>
  <si>
    <t>FRAGON</t>
  </si>
  <si>
    <t xml:space="preserve">INS CACAU PÓ NATURAL </t>
  </si>
  <si>
    <t>SATTVA</t>
  </si>
  <si>
    <t>INS CALCIO DE OSTRAS PO</t>
  </si>
  <si>
    <t>INS CALONE</t>
  </si>
  <si>
    <t>INS CANFORA CRISTAIS</t>
  </si>
  <si>
    <t>INS CANNABIS</t>
  </si>
  <si>
    <t>INS CAPRILILGLICOL</t>
  </si>
  <si>
    <t>IMCD</t>
  </si>
  <si>
    <t>INS CARBOGREEN EO</t>
  </si>
  <si>
    <t>ASSESSA</t>
  </si>
  <si>
    <t>INS CARBOPOL 940</t>
  </si>
  <si>
    <t>DINACO</t>
  </si>
  <si>
    <t>INS CARBOPOL ULTREZ 21</t>
  </si>
  <si>
    <t>FOCUS QUIMICA</t>
  </si>
  <si>
    <t>INS CARBOXI METIL CELULOSE</t>
  </si>
  <si>
    <t>INS CARVAO ATIVADO PÓ</t>
  </si>
  <si>
    <t>INNOVASELL</t>
  </si>
  <si>
    <t>INS CAULIM GRAU TECNICO</t>
  </si>
  <si>
    <t>SULFAL</t>
  </si>
  <si>
    <t>INS CELLLULOSCRUB 1000 - MICROESFERAS DE CELULOSE</t>
  </si>
  <si>
    <t>INS CERA VEGETAL DA PALMA</t>
  </si>
  <si>
    <t>CARLA MARIA DO VALE</t>
  </si>
  <si>
    <t>INS CERA/PARAFINA DE SOJA MIX ECO</t>
  </si>
  <si>
    <t>INS CLORELA</t>
  </si>
  <si>
    <t>INS CLORETO DE MAGNESIO 25KG</t>
  </si>
  <si>
    <t>LABSYNTH</t>
  </si>
  <si>
    <t>INS CMC - CARBOXI METIL CELULOSE</t>
  </si>
  <si>
    <t xml:space="preserve">INS COENZIMA Q10 UBIDECARENONA </t>
  </si>
  <si>
    <t>INS COLORONA IMPERIAL CITRINE</t>
  </si>
  <si>
    <t>INS COSMACOL ELI DERIVADO ACIDO LACTICO</t>
  </si>
  <si>
    <t>INS COSMACOL EMI MP</t>
  </si>
  <si>
    <t>INS CUMARINA 500G</t>
  </si>
  <si>
    <t>INS CURCUMA LONGA</t>
  </si>
  <si>
    <t>INS D-PANTENOL</t>
  </si>
  <si>
    <t>INS D-RIBOSE 500G</t>
  </si>
  <si>
    <t>INFINITY PHARMA</t>
  </si>
  <si>
    <t>INS DAMASCO EXFOLIATOR 500 - SEMENTE DE DAMASCO</t>
  </si>
  <si>
    <t>INS DEOPLEX CLEAR K5632</t>
  </si>
  <si>
    <t>INS DOLOMITA SUPLEMENTO DE CALCIO E MAGNESIO 1KG</t>
  </si>
  <si>
    <t>INS EDTA DISSODICO</t>
  </si>
  <si>
    <t>MIX DAS ESSENCIAS</t>
  </si>
  <si>
    <t>INS EMULFEEL SGP</t>
  </si>
  <si>
    <t>CHEMYUNION</t>
  </si>
  <si>
    <t xml:space="preserve">INS ESCINA </t>
  </si>
  <si>
    <t>INS ESPIRULINA 60%</t>
  </si>
  <si>
    <t>INS ESQUALANO</t>
  </si>
  <si>
    <t>EFP BIOTEK</t>
  </si>
  <si>
    <t>INS ESSENCIA BULGARIAN MAN</t>
  </si>
  <si>
    <t>CAPUANI</t>
  </si>
  <si>
    <t>INS ESSENCIA FLORES GUMBEL</t>
  </si>
  <si>
    <t>INS ESSENCIA FOLHAS GUMBEL</t>
  </si>
  <si>
    <t>INS ESSENCIA LIRIO</t>
  </si>
  <si>
    <t>INS ESSENCIA RAIZES GUMBEL</t>
  </si>
  <si>
    <t>INS EUCALIPTOL</t>
  </si>
  <si>
    <t>INS EUXYL K900</t>
  </si>
  <si>
    <t>INS EUXYL PE9010/TROYCARE PE91</t>
  </si>
  <si>
    <t>INS EXTRATO ALCOOLICO DE JAMBU</t>
  </si>
  <si>
    <t>SEIVA BRASILIS</t>
  </si>
  <si>
    <t>INS EXTRATO DE ALECRIM</t>
  </si>
  <si>
    <t>INS EXTRATO DE PEROLA</t>
  </si>
  <si>
    <t>AQIA</t>
  </si>
  <si>
    <t>INS EXTRATO FLUIDO DE CHAMPIGNON</t>
  </si>
  <si>
    <t>INS EXTRATO FLUIDO DE PROPOLIS</t>
  </si>
  <si>
    <t>INS EXTRATO FLUIDO DE SHITAKE</t>
  </si>
  <si>
    <t>INS EXTRATO GLICOLICO DE ABACATE</t>
  </si>
  <si>
    <t>INS EXTRATO GLICOLICO DE ALCACHOFRA</t>
  </si>
  <si>
    <t>INS EXTRATO GLICOLICO DE ALCACUZ REGALIZ</t>
  </si>
  <si>
    <t>INS EXTRATO GLICOLICO DE ALECRIM DO CAMPO</t>
  </si>
  <si>
    <t>INS EXTRATO GLICOLICO DE ALGAS</t>
  </si>
  <si>
    <t>INS EXTRATO GLICOLICO DE ARNICA MONTANA</t>
  </si>
  <si>
    <t>INS EXTRATO GLICOLICO DE ARNICA NACIONAL</t>
  </si>
  <si>
    <t>INS EXTRATO GLICOLICO DE CASTANHA DA INDIA</t>
  </si>
  <si>
    <t xml:space="preserve">INS EXTRATO GLICOLICO DE CAVALINHA </t>
  </si>
  <si>
    <t>INS EXTRATO GLICOLICO DE CENTELHA ASIATICA</t>
  </si>
  <si>
    <t>INS EXTRATO GLICOLICO DE CHA VERDE</t>
  </si>
  <si>
    <t>INS EXTRATO GLICOLICO DE CUMARU</t>
  </si>
  <si>
    <t>INS EXTRATO GLICOLICO DE GINKO BILOBA</t>
  </si>
  <si>
    <t>INS EXTRATO GLICOLICO DE JAMBU</t>
  </si>
  <si>
    <t xml:space="preserve">INS EXTRATO GLICOLICO DE LOTUS </t>
  </si>
  <si>
    <t>INS EXTRATO GLICÓLICO DE MEL</t>
  </si>
  <si>
    <t>INS EXTRATO QE ALECRIM</t>
  </si>
  <si>
    <t>QUINTESSÊNCIAS</t>
  </si>
  <si>
    <t>INS EXTRATO QE ALECRIM-DO-CAMPO</t>
  </si>
  <si>
    <t>INS EXTRATO QE CAPIM-LIMAO</t>
  </si>
  <si>
    <t>INS EXTRATO QE CIPRESTE-HINOKI</t>
  </si>
  <si>
    <t>INS EXTRATO QE COPAIBA</t>
  </si>
  <si>
    <t>INS EXTRATO QE ERVA-BALEEIRA</t>
  </si>
  <si>
    <t>INS EXTRATO QE EUCALIPTO</t>
  </si>
  <si>
    <t>INS EXTRATO QE FUNCHO-DOCE</t>
  </si>
  <si>
    <t>INS EXTRATO QE GERANIO</t>
  </si>
  <si>
    <t>INS EXTRATO QE HORTELÃ-PIMENTA</t>
  </si>
  <si>
    <t>INS EXTRATO QE LARANJA-AMARGA</t>
  </si>
  <si>
    <t>INS EXTRATO QE LAVANDA</t>
  </si>
  <si>
    <t>INS EXTRATO QE LAVANDA-DENTADA</t>
  </si>
  <si>
    <t>INS EXTRATO QE LIMÃO-SICILIANO</t>
  </si>
  <si>
    <t>INS EXTRATO QE MANJERICAO</t>
  </si>
  <si>
    <t>INS EXTRATO QE MELALEUCA</t>
  </si>
  <si>
    <t>INS EXTRATO QE OREGANO</t>
  </si>
  <si>
    <t>INS EXTRATO QE PINHEIRO</t>
  </si>
  <si>
    <t>INS EXTRATO QE SALVIA</t>
  </si>
  <si>
    <t>INS FLORAL RESCUE</t>
  </si>
  <si>
    <t>MONAS</t>
  </si>
  <si>
    <t>INS FOS OLIGOFRUTOSE</t>
  </si>
  <si>
    <t>INS FUCOGEL 1.5P</t>
  </si>
  <si>
    <t>INS FUCOGEL 1.5P ( KG )</t>
  </si>
  <si>
    <t>INS GEMSTONE BL TOURMALINE 5 KG</t>
  </si>
  <si>
    <t>INS GLICERINA VEGETAL</t>
  </si>
  <si>
    <t>ASTOM</t>
  </si>
  <si>
    <t xml:space="preserve">INS GLUCONATO DE SODIO </t>
  </si>
  <si>
    <t>INS GLUCONATO DE SODIO GRANULAR</t>
  </si>
  <si>
    <t xml:space="preserve">INS GLUCOSAMINA SULFATO </t>
  </si>
  <si>
    <t>INS GOMA XANTANA</t>
  </si>
  <si>
    <t>INS HEBEATOL PLUS</t>
  </si>
  <si>
    <t>INS HIDRÓXIDO DE SÓDIO - 97% SODA CAUSTICA ESCAMAS</t>
  </si>
  <si>
    <t xml:space="preserve">INS HIDRÓXIDO DE SÓDIO - 98/99% </t>
  </si>
  <si>
    <t>INS IMWITOR</t>
  </si>
  <si>
    <t>PIC</t>
  </si>
  <si>
    <t>INS INULINA</t>
  </si>
  <si>
    <t>INS ISOBUTILQUINOLEINA</t>
  </si>
  <si>
    <t>INS KOMBUCHKA PH-TPI</t>
  </si>
  <si>
    <t>INS L-CARNITINA</t>
  </si>
  <si>
    <t xml:space="preserve">INS LEXGARD NATURAL </t>
  </si>
  <si>
    <t>INS LEXGARD O - CAPRILILGLICOL</t>
  </si>
  <si>
    <t>INOLEX DO BRASIL</t>
  </si>
  <si>
    <t>INS LICORICE-ECO</t>
  </si>
  <si>
    <t>PROVITAL DO</t>
  </si>
  <si>
    <t>INS LIRIOS PR 423500</t>
  </si>
  <si>
    <t xml:space="preserve">INS MAKIBEADS 80 </t>
  </si>
  <si>
    <t>INS MANTEIGA DE CACAU DESODORIZADA CONVENCIONAL</t>
  </si>
  <si>
    <t>INS MANZANATTI</t>
  </si>
  <si>
    <t>INS MENTOL CRISTAL</t>
  </si>
  <si>
    <t>INS METIL CEDRIL KETONE</t>
  </si>
  <si>
    <t>INS MIRISTATO DE ISOPROPILA</t>
  </si>
  <si>
    <t>INS MSM METHYL SULFONYL METHANE</t>
  </si>
  <si>
    <t>INS NANO TGP2 OLIGOPEPTIDE 50GR</t>
  </si>
  <si>
    <t>INS NIAGEN RIBOSIDEO DE NICOTINAMIDA 25G</t>
  </si>
  <si>
    <t>VIA FARMA</t>
  </si>
  <si>
    <t xml:space="preserve">INS OLIVEM 400 - TENSOATIVO DA OLIVA </t>
  </si>
  <si>
    <t xml:space="preserve">INS OXIDO DE ZINCO </t>
  </si>
  <si>
    <t xml:space="preserve">INS PALMITATO DE ISOPROPILA </t>
  </si>
  <si>
    <t>MAPRIC PRODUTOS</t>
  </si>
  <si>
    <t>INS PALMITOILETANOLAMIDA (PEA)</t>
  </si>
  <si>
    <t>INS PEROLAN SOL</t>
  </si>
  <si>
    <t>INS PICONIA</t>
  </si>
  <si>
    <t>INS PIGMENTO VEGETAL (VERDE ETNO) - 77288</t>
  </si>
  <si>
    <t>ETNO BOTÂNICA</t>
  </si>
  <si>
    <t>INS PL16 VERDE ETNO OXIDO DE CROMO</t>
  </si>
  <si>
    <t>INS POLYBASE CRISTAL</t>
  </si>
  <si>
    <t>INS PORTUSANA PORTULACA OLERACEA L 100G</t>
  </si>
  <si>
    <t>INS PQQ</t>
  </si>
  <si>
    <t>INS PQQ POWDER</t>
  </si>
  <si>
    <t>INS PRATA COLOIDAL</t>
  </si>
  <si>
    <t xml:space="preserve">SYMBIOS </t>
  </si>
  <si>
    <t>INS PRODEW 600</t>
  </si>
  <si>
    <t>BIOVITAL</t>
  </si>
  <si>
    <t>INS PROPILENOGLICOL</t>
  </si>
  <si>
    <t>BB</t>
  </si>
  <si>
    <t xml:space="preserve">INS PROPILENOGLICOL USP </t>
  </si>
  <si>
    <t>INS PUREACT WS CONC. PASTA (30  ATIVO)</t>
  </si>
  <si>
    <t>INS QUARTZO 401/325-H</t>
  </si>
  <si>
    <t xml:space="preserve">INS QUARTZO 403/100-S </t>
  </si>
  <si>
    <t>INS RONASTAR GOLDEN JEWEL</t>
  </si>
  <si>
    <t>INS S7 COFFEA ARABICA L 10G</t>
  </si>
  <si>
    <t>INS SANDALORE</t>
  </si>
  <si>
    <t>VENTOS DO BRASIL</t>
  </si>
  <si>
    <t>INS SELENIOMETIONINA</t>
  </si>
  <si>
    <t>INS SENSIVA SC 80</t>
  </si>
  <si>
    <t>INS SORBIPOL 70%</t>
  </si>
  <si>
    <t>INS SORBITOL LÍQUIDO - POLYGLOBE 0100</t>
  </si>
  <si>
    <t>NEOVITA</t>
  </si>
  <si>
    <t>INS SUCROSE ESTER PS750-C</t>
  </si>
  <si>
    <t>INS SULFATO DE ZINCO</t>
  </si>
  <si>
    <t>ALL CHEMISTRY</t>
  </si>
  <si>
    <t xml:space="preserve">INS TAMARA SEM CAROÇO </t>
  </si>
  <si>
    <t>INS TINOGARD TT</t>
  </si>
  <si>
    <t>INS TRANSCUTOL</t>
  </si>
  <si>
    <t>M CASSAB</t>
  </si>
  <si>
    <t>INS TRIGLICERIDES DO ACIDO CAPRICO CAPRILICO</t>
  </si>
  <si>
    <t>INS TURMALINA NEGRA</t>
  </si>
  <si>
    <t>INS VANILINA CRISTAIS</t>
  </si>
  <si>
    <t>INS VC-IP</t>
  </si>
  <si>
    <t>INS VITAMINA B3 - NICOTINAMIDA</t>
  </si>
  <si>
    <t>INS VITAMINA B6 HCL</t>
  </si>
  <si>
    <t>INS VITAMINA C PÓ (ASCORBOSILANE)</t>
  </si>
  <si>
    <t>INS VITAMINA D3</t>
  </si>
  <si>
    <t>INS VITAMINA E ACETATO  (OLEOSA)</t>
  </si>
  <si>
    <t>INS VOLLMENS 0067401 (BUGATI BLACK)</t>
  </si>
  <si>
    <t>INS XANTHAN GUM FNCS.PC</t>
  </si>
  <si>
    <t>INS ZEMEA</t>
  </si>
  <si>
    <t>INS ZEOLITA</t>
  </si>
  <si>
    <t>TERRAMATER</t>
  </si>
  <si>
    <t>INS ZOOMZYME GLU10 50G</t>
  </si>
  <si>
    <t>LECITINA DE GIRASSOL 1KG</t>
  </si>
  <si>
    <t>ADICEL</t>
  </si>
  <si>
    <t>LECITINA DE SOJA LIQUIDA 1KG</t>
  </si>
  <si>
    <t>LEITE DE COCO EM PO VEGANO 5KG</t>
  </si>
  <si>
    <t>ADEL COCO BRASIL</t>
  </si>
  <si>
    <t>LEITE DE COCO EM PO VEGANO LF 5KG</t>
  </si>
  <si>
    <t xml:space="preserve">LEITE EM PO PIRACANJUBA </t>
  </si>
  <si>
    <t>OESA COMERCIO</t>
  </si>
  <si>
    <t>LICOR DE CACAU</t>
  </si>
  <si>
    <t>LIFE SDHA S10-P2000 (OMEGA 3)</t>
  </si>
  <si>
    <t>UNIVAR</t>
  </si>
  <si>
    <t>LIMÃO TAHITI GRANULADO 0,4 A 2,0MM 20KG</t>
  </si>
  <si>
    <t xml:space="preserve">MACCA DESIDRATADOS </t>
  </si>
  <si>
    <t xml:space="preserve">LIVRO A BIBLIA DOS OLEOS ESSENCIAIS </t>
  </si>
  <si>
    <t xml:space="preserve">LIVRO A BIBLIA PARA TRATAMENTO DE DORES COM </t>
  </si>
  <si>
    <t xml:space="preserve">LIVRO A CURA PELO IODO </t>
  </si>
  <si>
    <t xml:space="preserve">LIVRO ALZHEIMER E SE HOUVER UMA CURA </t>
  </si>
  <si>
    <t xml:space="preserve">LIVRO AROMATERAPIA A CURA PELOS OLEOS </t>
  </si>
  <si>
    <t xml:space="preserve">LIVRO AROMATERAPIA A FONTE DA JUVENTUDE </t>
  </si>
  <si>
    <t xml:space="preserve">LIVRO AROMATERAPIA E AS TECNICAS ENERGETICAS </t>
  </si>
  <si>
    <t xml:space="preserve">LIVRO AROMATERAPIA MEDICA </t>
  </si>
  <si>
    <t xml:space="preserve">LIVRO AROMATERAPIA PARA MULHERES </t>
  </si>
  <si>
    <t xml:space="preserve">LIVRO AROMATERAPIA PARA TODOS </t>
  </si>
  <si>
    <t xml:space="preserve">LIVRO AYURVEDA E AROMATERAPIA </t>
  </si>
  <si>
    <t xml:space="preserve">LIVRO CANNABIS E ESPIRITUALIDADE </t>
  </si>
  <si>
    <t xml:space="preserve">LIVRO CANNABIS MEDICINAL </t>
  </si>
  <si>
    <t xml:space="preserve">LIVRO ENSINAMENTOS DO CORACAO DE UM MESTRE </t>
  </si>
  <si>
    <t xml:space="preserve">LIVRO FUNDAMENTOS DA TERAPIA HOLISTICA </t>
  </si>
  <si>
    <t xml:space="preserve">LIVRO MAHA LILAH - O JOGO DO AUTOCONHECIMENTO </t>
  </si>
  <si>
    <t xml:space="preserve">LIVRO MEDICINA CANABINOIDE </t>
  </si>
  <si>
    <t xml:space="preserve">LIVRO MEDIUM MEDICO </t>
  </si>
  <si>
    <t xml:space="preserve">LIVRO O GUIA COMPLETO CBD </t>
  </si>
  <si>
    <t xml:space="preserve">LIVRO OLEO DE COCO </t>
  </si>
  <si>
    <t xml:space="preserve">LIVRO OLEOS ESSENCIAIS BIOATIVOS E CANCER </t>
  </si>
  <si>
    <t xml:space="preserve">LIVRO OLEOS ESSENCIAIS PARA ANIMAIS </t>
  </si>
  <si>
    <t xml:space="preserve">LIVRO OLEOS ESSENCIAIS PARA TONIFICAR E CURAR </t>
  </si>
  <si>
    <t xml:space="preserve">LIVRO OLEOS PARA UNCAO AROMATICA </t>
  </si>
  <si>
    <t xml:space="preserve">LIVRO PERFUMARIA BOTANICA PARA O PERFUMISTA </t>
  </si>
  <si>
    <t xml:space="preserve">LIVRO QUIMICA ESSENCIAL </t>
  </si>
  <si>
    <t xml:space="preserve">LIVRO SINERGIAS AROMATICAS </t>
  </si>
  <si>
    <t>MALTITOL CRISTAL ADOÇANTE NATURAL</t>
  </si>
  <si>
    <t>MANTEIGA DE CACAU DESODORIZADA ORGANICA</t>
  </si>
  <si>
    <t>MERCOTECH DESIFETANTE BIG 5L</t>
  </si>
  <si>
    <t>CONFIAMIX</t>
  </si>
  <si>
    <t>MP HIDROLATO DE ALECRIM</t>
  </si>
  <si>
    <t>AKÃ OLEOS ESSENCIAIS</t>
  </si>
  <si>
    <t xml:space="preserve">MP HIDROLATO DE GERANIO </t>
  </si>
  <si>
    <t>MP HIDROLATO DE TEA TREE</t>
  </si>
  <si>
    <t>MP OE ALECRIM QT MIRCENO GT BRASIL</t>
  </si>
  <si>
    <t>AROMACH INGREDIENTES</t>
  </si>
  <si>
    <t>MP OE AMAZONGRASS GT BRASIL</t>
  </si>
  <si>
    <t>MP OE CENOURA SEMENTES</t>
  </si>
  <si>
    <t>MP OE FUNCHO-DOCE PLANTA GT BRASIL</t>
  </si>
  <si>
    <t>MP OE MACACAPORANGA GT BRASIL 5 ML</t>
  </si>
  <si>
    <t>MP OR ALECRIM GT INDIA</t>
  </si>
  <si>
    <t>NATAMICINA 100 GRAMAS</t>
  </si>
  <si>
    <t>SACCO BRASIL</t>
  </si>
  <si>
    <t xml:space="preserve">NIBS DE CACAU (CACAUWAY FORASTEIRO) </t>
  </si>
  <si>
    <t>CACAUWAY</t>
  </si>
  <si>
    <t>NISAPLIN</t>
  </si>
  <si>
    <t>MASTERSENSE</t>
  </si>
  <si>
    <t xml:space="preserve">OE ABETO BALSAMICO </t>
  </si>
  <si>
    <t>OE ABETO DO CAUCASO GT EUA</t>
  </si>
  <si>
    <t>OE ABETO DOUGLAS GT CANADÁ</t>
  </si>
  <si>
    <t>OE ABETO FRASER</t>
  </si>
  <si>
    <t>OE ABETO GIGANTE</t>
  </si>
  <si>
    <t>OE ABETO NOBRE GT EUA</t>
  </si>
  <si>
    <t>OE ABETO PRATA GT ÁUSTRIA</t>
  </si>
  <si>
    <t>OE ABETO SIBERIANO GT RUSSIA</t>
  </si>
  <si>
    <t xml:space="preserve">OE ABSINTO DM </t>
  </si>
  <si>
    <t>OE AIPO SEMENTES - GT INDIA</t>
  </si>
  <si>
    <t>OE AJOWAN GT INDIA</t>
  </si>
  <si>
    <t xml:space="preserve">OE ALCARAVIA SEMENTES </t>
  </si>
  <si>
    <t>OE ALECRIM (CINEOL-EXTRA) GT MARROCOS</t>
  </si>
  <si>
    <t>OE ALECRIM CANFORA GT ESPANHA</t>
  </si>
  <si>
    <t>OE ALECRIM CINEOL GT BRASIL</t>
  </si>
  <si>
    <t>OE ALECRIM DO CAMPO ORG</t>
  </si>
  <si>
    <t xml:space="preserve">OE ALECRIM DO CERRADO / CAMPO GT BRASIL </t>
  </si>
  <si>
    <t>OE ALECRIM PIMENTA GT BRASIL</t>
  </si>
  <si>
    <t>AGROPAULO</t>
  </si>
  <si>
    <t>OE ALECRIM QT CÂNFORA (20/30%)  5 ML - PROVADOR</t>
  </si>
  <si>
    <t>OE ALECRIM QT CINEOL TUNISIA</t>
  </si>
  <si>
    <t>OE ALECRIM QT VERBENONA GT MALAWI</t>
  </si>
  <si>
    <t xml:space="preserve">OE ALECRIM QT VERBENONA PREMIUM </t>
  </si>
  <si>
    <t xml:space="preserve">OE ALECRIM SELVAGEM GT AFRICA DO SUL </t>
  </si>
  <si>
    <t xml:space="preserve">OE ALHO GT CHINA </t>
  </si>
  <si>
    <t>OE AMENDOAS AMARGAS GT EUA</t>
  </si>
  <si>
    <t>OE ANGELICA RAÍZES GT INGLATERRA</t>
  </si>
  <si>
    <t>OE ANGELICA SEMENTES</t>
  </si>
  <si>
    <t>OE ANIS ESTRELADO - SEMENTES GT CHINA</t>
  </si>
  <si>
    <t>OE ARAÇA ROSA FOLHAS</t>
  </si>
  <si>
    <t>OE ARAÇA VERMELHO</t>
  </si>
  <si>
    <t>OE ARBORVITAE GT EUA</t>
  </si>
  <si>
    <t>OE ARBUSTO MENTA GT AUSTRALIA</t>
  </si>
  <si>
    <t xml:space="preserve">OE ARINA (IARY) </t>
  </si>
  <si>
    <t xml:space="preserve">OE ARNICA SILVESTRE  </t>
  </si>
  <si>
    <t>OE AROEIRA FOLHAS</t>
  </si>
  <si>
    <t>OE ARRUDA GT ESPANHA</t>
  </si>
  <si>
    <t>OE ARTEMISIA BRANCA - GT MARROCOS</t>
  </si>
  <si>
    <t>OE ARTEMISIA DO NEPAL GT NEPAL</t>
  </si>
  <si>
    <t>OE ARTEMISIA MOXA</t>
  </si>
  <si>
    <t xml:space="preserve">OE ARTEMISIA PESSEGO </t>
  </si>
  <si>
    <t>OE ASSA PEIXE</t>
  </si>
  <si>
    <t>OE ASSAFETIDA</t>
  </si>
  <si>
    <t>OE ATTAR MAJMUA UDD GT INDIA</t>
  </si>
  <si>
    <t>OE AZALEIA GIGANTE GT NEPAL</t>
  </si>
  <si>
    <t xml:space="preserve">OE BALSAMO DO PERU </t>
  </si>
  <si>
    <t>OE BAY RUM</t>
  </si>
  <si>
    <t xml:space="preserve">OE BERGAMOTA GT BRASIL </t>
  </si>
  <si>
    <t>BIO CITRUS</t>
  </si>
  <si>
    <t>OE BERGAMOTA LFC GT CHINA</t>
  </si>
  <si>
    <t xml:space="preserve">OE BERGAMOTA PRENSADA GT COSTA DO MARFIM </t>
  </si>
  <si>
    <t>OE BERGAMOTA PRENSADA GT ITALIA</t>
  </si>
  <si>
    <t>OE BETULA BRANCA GT RUSSIA</t>
  </si>
  <si>
    <t>OE BETULA DEFUMADA</t>
  </si>
  <si>
    <t xml:space="preserve">OE BETULA DEFUMADA </t>
  </si>
  <si>
    <t>OE BETULA DOCE SELVAGEM ADIRONDACK</t>
  </si>
  <si>
    <t>OE BREU GT BRASIL</t>
  </si>
  <si>
    <t>ASSOCIAÇÃO AGRO</t>
  </si>
  <si>
    <t xml:space="preserve">OE BREU PRETO GT CHAPADA DIAMANTINA </t>
  </si>
  <si>
    <t>BCEN</t>
  </si>
  <si>
    <t>OE BUDDHAWOOD GT AUSTRALIA</t>
  </si>
  <si>
    <t>OE CABREUVA (PAU DE INCENSO) GT BRASIL</t>
  </si>
  <si>
    <t>BAURU</t>
  </si>
  <si>
    <t>OE CAJEPUT GT AUSTRALIA</t>
  </si>
  <si>
    <t>OE CALAMO GT INDIA</t>
  </si>
  <si>
    <t>OE CAMARA LATANA</t>
  </si>
  <si>
    <t>OE CAMOMILA ALEMA</t>
  </si>
  <si>
    <t>OE CAMOMILA ALEMÃ GT BULGARIA - AMOSTRA</t>
  </si>
  <si>
    <t>OE CAMOMILA AZUL ALEMÃ GT BRASIL</t>
  </si>
  <si>
    <t xml:space="preserve">OE CAMOMILA AZUL PREMIUM CAMAZULENO  </t>
  </si>
  <si>
    <t>OE CAMOMILA DO MARROCOS</t>
  </si>
  <si>
    <t>OE CAMOMILA ROMANA</t>
  </si>
  <si>
    <t>OE CAMOMILA ROMANA GT BULGARIA - AMOSTRA</t>
  </si>
  <si>
    <t>OE CAMOMILA-ROMANA GT INGLAT. 10% 3 ML - PROVADOR</t>
  </si>
  <si>
    <t>OE CANANGA DO JAPÃO</t>
  </si>
  <si>
    <t>OE CANDEIA 95/98 RETIFICADA (EXTRA)</t>
  </si>
  <si>
    <t>CITRÓLEO</t>
  </si>
  <si>
    <t>OE CANDEIA BRUTO 70/80</t>
  </si>
  <si>
    <t>ATINA INDUSTRIA</t>
  </si>
  <si>
    <t>OE CANELA CHINA CASCAS (CASSIA)</t>
  </si>
  <si>
    <t>OE CANELA DO CEILAO (CASCAS)</t>
  </si>
  <si>
    <t>OE CANELA DO HIMALAIA GT INDIA</t>
  </si>
  <si>
    <t>OE CANELA DO NEPAL QT CINAMATO DE MET.</t>
  </si>
  <si>
    <t>OE CANELA FOLHAS CEILÃO QT EUGENOL GT MADAGASCAR</t>
  </si>
  <si>
    <t>OE CANFORA BRANCA GT CHINA</t>
  </si>
  <si>
    <t>FERQUIMA</t>
  </si>
  <si>
    <t>OE CANNABIS</t>
  </si>
  <si>
    <t>OE CAPE MAY</t>
  </si>
  <si>
    <t>OE CAPIÇOBA</t>
  </si>
  <si>
    <t>OE CAPIM CAMELO GT INDIA</t>
  </si>
  <si>
    <t>OE CAPIM CIDREIRA GT BRASIL</t>
  </si>
  <si>
    <t>OE CAPIM CIDREIRA HD GT HAITI</t>
  </si>
  <si>
    <t>OE CAPIM CIDREIRA ORG</t>
  </si>
  <si>
    <t>OE CAPIM GENGIBRE GT INDIA</t>
  </si>
  <si>
    <t>OE CAPIM LIMAO VAR FLESUOSOS</t>
  </si>
  <si>
    <t>OE CAPIM-LIMÃO 10 ML (MIO)</t>
  </si>
  <si>
    <t xml:space="preserve">OE CAPIM-LIMÃO GT BRASIL 5 ML - PROVADOR </t>
  </si>
  <si>
    <t>OE CARDAMOMO ESCURO GT GUATEMALA</t>
  </si>
  <si>
    <t xml:space="preserve">OE CARDAMOMO GT INDIA </t>
  </si>
  <si>
    <t>OE CARDAMOMO HD GT GUATEMALA</t>
  </si>
  <si>
    <t>OE CARQUEJA AMARGA GT BRASIL (RS)</t>
  </si>
  <si>
    <t xml:space="preserve">OE CATAIA (CRAVO DO CAMPO/CHA-DE-BUGRE) </t>
  </si>
  <si>
    <t xml:space="preserve">OE CEBOLA GT INDIA </t>
  </si>
  <si>
    <t>OE CEDRO BRANCO</t>
  </si>
  <si>
    <t>OE CEDRO CANJERANA</t>
  </si>
  <si>
    <t>QUINARI</t>
  </si>
  <si>
    <t>OE CEDRO DA CHINA CIPRESTE CHINES MADEIRA</t>
  </si>
  <si>
    <t>MATTOSO EXTRATOS NATURAIS</t>
  </si>
  <si>
    <t>OE CEDRO DA VIRGINIA</t>
  </si>
  <si>
    <t xml:space="preserve">OE CEDRO DO ATLAS GT MARROCOS MADEIRA </t>
  </si>
  <si>
    <t xml:space="preserve">OE CEDRO DO HIMALAIA GT INDIA </t>
  </si>
  <si>
    <t xml:space="preserve">OE CEDRO DO TEXAS </t>
  </si>
  <si>
    <t>OE CEDRO FOLHAS GT AUSTRIA</t>
  </si>
  <si>
    <t>OE CEDRO JAPONES MADEIRA HIBA GT JAPAO</t>
  </si>
  <si>
    <t>OE CENOURA SEMENTES</t>
  </si>
  <si>
    <t>OE CIDRA "CASCAS" GT BRASIL</t>
  </si>
  <si>
    <t xml:space="preserve">OE CIPO MIL HOMENS </t>
  </si>
  <si>
    <t>OE CIPRESTE AZUL MADEIRA GT AUSTRALIA</t>
  </si>
  <si>
    <t xml:space="preserve">OE CIPRESTE DO HIMALAIA MADEIRA </t>
  </si>
  <si>
    <t>OE CIPRESTE EUROPEU FOLHAS GT FRANÇA</t>
  </si>
  <si>
    <t>OE CIPRESTE LUSITANICA</t>
  </si>
  <si>
    <t>OE CISTO LADANO GT ESPANHA</t>
  </si>
  <si>
    <t>OE CITRONELA DO CEILAO GT BRASIL</t>
  </si>
  <si>
    <t>OE CITRONELA VAR. JAVA GT BRASIL</t>
  </si>
  <si>
    <t xml:space="preserve">OE CLEMENTINA GT ITALIA </t>
  </si>
  <si>
    <t xml:space="preserve">OE COENTRO GT RUSSIA </t>
  </si>
  <si>
    <t xml:space="preserve">OE COENTRO PLANTA </t>
  </si>
  <si>
    <t>OE COENTRO SEMENTES GT FRANÇA</t>
  </si>
  <si>
    <t>OE COLONIA ALPINIA</t>
  </si>
  <si>
    <t>OE COLONIA DE JAVA GT INDONÉSIA</t>
  </si>
  <si>
    <t>OE COMINHO ORGANICO</t>
  </si>
  <si>
    <t>OE COMINHO SEMENTES GT ÍNDIA</t>
  </si>
  <si>
    <t>OE CONHAQUE VERDE GT FRANÇA</t>
  </si>
  <si>
    <t>OE COPAIBA BRANCA DESTILADA GT BRASIL</t>
  </si>
  <si>
    <t xml:space="preserve">OE COPAIBA DEFUMADA </t>
  </si>
  <si>
    <t xml:space="preserve">OE COPAÍBA-BRANCA GT BRASIL 3 ML - PROVADOR </t>
  </si>
  <si>
    <t>OE CRAVO DA INDIA BOTOES GT BRASIL</t>
  </si>
  <si>
    <t>OE CRAVO FOLHAS GT INDONÉSIA</t>
  </si>
  <si>
    <t>OE CROTON COTONEASTER</t>
  </si>
  <si>
    <t>ASTERALE</t>
  </si>
  <si>
    <t>OE CROTON-GEAYI</t>
  </si>
  <si>
    <t>OE CUBEBA GT INDONESIA</t>
  </si>
  <si>
    <t>OE CURRY FOLHAS GT INDIA</t>
  </si>
  <si>
    <t>OE DAMIANA GT MEXICO</t>
  </si>
  <si>
    <t>OE DAVANA GT INDIA</t>
  </si>
  <si>
    <t>OE ELEMI GT FILIPINAS</t>
  </si>
  <si>
    <t xml:space="preserve">OE ENDRO PLANTA GT EUA </t>
  </si>
  <si>
    <t xml:space="preserve">OE ENDRO SEMENTES - ANETO/DILL </t>
  </si>
  <si>
    <t>OE ERIGERON GT EUA</t>
  </si>
  <si>
    <t>OE ERVA BALEEIRA</t>
  </si>
  <si>
    <t xml:space="preserve">OE ERVA DA GRAÇA </t>
  </si>
  <si>
    <t>MARIA DAS GRAÇAS FERREIRA AMIM</t>
  </si>
  <si>
    <t xml:space="preserve">OE ERVA DOCE SEMENTES GT EGITO </t>
  </si>
  <si>
    <t>OE ERVA MATE</t>
  </si>
  <si>
    <t>OE ESPRUCE BRANCO GT CANADA</t>
  </si>
  <si>
    <t>OE ESPRUCE CANADENSE TSUGA GT CANADA</t>
  </si>
  <si>
    <t>OE ESPRUCE NEGRO GT CANADA</t>
  </si>
  <si>
    <t>OE ESTRAGÃO GT EUA</t>
  </si>
  <si>
    <t>OE EUCALIPTO 10 ML (MIO)</t>
  </si>
  <si>
    <t>OE EUCALIPTO CIDREIRA GT BRASIL</t>
  </si>
  <si>
    <t>DIERBERGER</t>
  </si>
  <si>
    <t>OE EUCALIPTO CITRIODORA</t>
  </si>
  <si>
    <t>OE EUCALIPTO DUNNI</t>
  </si>
  <si>
    <t>OE EUCALIPTO GLOBULUS 85-90 GT BRASIL</t>
  </si>
  <si>
    <t>EUCALIPTUS - SANOLLI</t>
  </si>
  <si>
    <t xml:space="preserve">OE EUCALIPTO GLOBULUS GT BRASIL 5 ML - PROVADOR </t>
  </si>
  <si>
    <t>OE EUCALIPTO GRANDIS</t>
  </si>
  <si>
    <t>OE EUCALIPTO HORTELA QT PIPERITONA</t>
  </si>
  <si>
    <t>OE EUCALIPTO RADIATA GT AUSTRALIA</t>
  </si>
  <si>
    <t>OE EUCALIPTO ROBUSTA GT BRASIL</t>
  </si>
  <si>
    <t>OE EUCALIPTO VIMINALIS</t>
  </si>
  <si>
    <t>OE FAMONTY PLUCHEA GT MADAGASCAR</t>
  </si>
  <si>
    <t>OE FLOR DAS ALMAS (MARIA MOLE)</t>
  </si>
  <si>
    <t>OE FRAGONIA AGONIS</t>
  </si>
  <si>
    <t>OE FUNCHO (FOLHAS) GT BRASIL</t>
  </si>
  <si>
    <t>HAJE</t>
  </si>
  <si>
    <t>OE FUNCHO AMARGO</t>
  </si>
  <si>
    <t>OE FUNCHO DOCE SEMENTES GT ESPANHA</t>
  </si>
  <si>
    <t>OE GALANGAL (FALSO GENGIBRE)</t>
  </si>
  <si>
    <t>OE GALBANO GT IRÃ</t>
  </si>
  <si>
    <t>OE GALBANO GT TURQUIA</t>
  </si>
  <si>
    <t>OE GATARIA ERVA DOS GATOS GT CANADA</t>
  </si>
  <si>
    <t>OE GENGIBRE GT CHINA</t>
  </si>
  <si>
    <t>OE GENGIBRE HIDRO-DIFUSO GT SRI LANKA</t>
  </si>
  <si>
    <t>OE GERANIO BORBOUN GT FRANÇA</t>
  </si>
  <si>
    <t>OE GERANIO GT AFRICA DO SUL</t>
  </si>
  <si>
    <t>OE GERANIO GT CHINA</t>
  </si>
  <si>
    <t>OE GERANIO GT EGITO</t>
  </si>
  <si>
    <t>OE GERANIO QT GERANIOL GT BRASIL</t>
  </si>
  <si>
    <t>OE GERANIO ROSA "GERANIO SELVAGEM"</t>
  </si>
  <si>
    <t>OE GERANIO ROSA (BRASILEIRO) GT BRASIL</t>
  </si>
  <si>
    <t>OE GERANIO ROSA GT EGITO</t>
  </si>
  <si>
    <t xml:space="preserve">OE GERANIO ROSA GT INDIA </t>
  </si>
  <si>
    <t>OE GERANIO ROSA MALVA ROSA GT BRASIL</t>
  </si>
  <si>
    <t>OE GOIABA GT BRASIL</t>
  </si>
  <si>
    <t>OE GRÃO DO PARAÍSO</t>
  </si>
  <si>
    <t>OE GRAPEFRUIT DESTILADO (LFC)</t>
  </si>
  <si>
    <t>OE GRAPEFRUIT ROSA 5X GT BRASIL</t>
  </si>
  <si>
    <t>OE GRAPEFRUIT ROSA GT BRASIL</t>
  </si>
  <si>
    <t>OE GRAPEFRUIT T LESS</t>
  </si>
  <si>
    <t>OE GREEN HEART GT KENIA</t>
  </si>
  <si>
    <t>OE GUAVIROBA FOLHAS</t>
  </si>
  <si>
    <t xml:space="preserve">OE GURJAN QT COPAENO </t>
  </si>
  <si>
    <t>OE HINOKI OURO GT BRASIL</t>
  </si>
  <si>
    <t>OE HINOKI OURO MADEIRA GT JAPÃO</t>
  </si>
  <si>
    <t>OE HINOKI PRATA FOLHAS GT BRASIL</t>
  </si>
  <si>
    <t>OE HINOKI PRATA MADEIRA GT EUA</t>
  </si>
  <si>
    <t>OE HIPERICO (ERVA D. SAO JOAO) GT CANADA</t>
  </si>
  <si>
    <t>OE HISSOPO</t>
  </si>
  <si>
    <t>OE HISSOPO DECUMBENS GT ESPANHA</t>
  </si>
  <si>
    <t>OE HISSOPO GT BULGARIA</t>
  </si>
  <si>
    <t>OE HO WOOD GT CHINA</t>
  </si>
  <si>
    <t>OE HORTELA BERGAMOTA GT BRASIL</t>
  </si>
  <si>
    <t>OE HORTELA BERGAMOTA GT EUA</t>
  </si>
  <si>
    <t xml:space="preserve">OE HORTELA BRANCA GT BRASIL </t>
  </si>
  <si>
    <t>OE HORTELA D´AGUA (WATERMINT)</t>
  </si>
  <si>
    <t>OE HORTELA DA ESCOCIA GT EUA</t>
  </si>
  <si>
    <t>OE HORTELA DO CAMPO GT BRASIL</t>
  </si>
  <si>
    <t>OE HORTELA LIMAO</t>
  </si>
  <si>
    <t>OE HORTELÃ PIMENTA (EXTRA) GT EUA</t>
  </si>
  <si>
    <t>OE HORTELA PIMENTA GT INDIA</t>
  </si>
  <si>
    <t>OE HORTELA VERDE GT CHINA</t>
  </si>
  <si>
    <t>OE HORTELÃ-PIMENTA 10 ML (MIO)</t>
  </si>
  <si>
    <t>OE HORTELÃ-PIMENTA GT ÍNDIA 5 ML - PROVADOR</t>
  </si>
  <si>
    <t>OE IMBUIA MADEIRA (EMBUIA) GT BRASIL</t>
  </si>
  <si>
    <t>OE JOÃO RUSSO GT BRASIL</t>
  </si>
  <si>
    <t>GRAÇA</t>
  </si>
  <si>
    <t>OE JUNIPERO BAGAS GT BULGARIA - AMOSTRA</t>
  </si>
  <si>
    <t>OE JUNIPERO BAGAS GT FRANÇA</t>
  </si>
  <si>
    <t>OE JUNIPERO BAGAS GT INDIA</t>
  </si>
  <si>
    <t>OE JUNIPERO BAGAS GT SERVIA</t>
  </si>
  <si>
    <t>OE JUNIPERO FENÍCIO GT PORTUGAL</t>
  </si>
  <si>
    <t>VITOR MENAS</t>
  </si>
  <si>
    <t xml:space="preserve">OE JUREMA BRANCA </t>
  </si>
  <si>
    <t>OE KANUKA GT NOVA ZELANDIA</t>
  </si>
  <si>
    <t>OE KATRAFAY GT MADAGASCAR</t>
  </si>
  <si>
    <t>OE KEWRA</t>
  </si>
  <si>
    <t>OE KHELLA (AMMI VISNAGA) GT MARROCOS</t>
  </si>
  <si>
    <t>OE KHUNU MUNA (OREGANO-DOS-ANDES) GT PERU</t>
  </si>
  <si>
    <t>OE KUMQUAT - KINKAN</t>
  </si>
  <si>
    <t>OE KUNZEA BRANCA GT AUSTRALIA</t>
  </si>
  <si>
    <t>OE LANYANA</t>
  </si>
  <si>
    <t>OE LARANJA 10 ML (MIO)</t>
  </si>
  <si>
    <t>OE PRENSADOS</t>
  </si>
  <si>
    <t>OE LARANJA 5-FOLD</t>
  </si>
  <si>
    <t>OE LARANJA 5X</t>
  </si>
  <si>
    <t>OE LARANJA AMARGA AMBER</t>
  </si>
  <si>
    <t>OE LARANJA AMARGA GREEN</t>
  </si>
  <si>
    <t>OE LARANJA DA TERRA AMARGA</t>
  </si>
  <si>
    <t>OE LARANJA DOCE ESSENCIA</t>
  </si>
  <si>
    <t xml:space="preserve">OE LARANJA ESSENCE </t>
  </si>
  <si>
    <t>OE LARANJA LIMA (DOCE) GT BRASIL</t>
  </si>
  <si>
    <t>OE LARANJA PERA (DOCE) GT BRASIL</t>
  </si>
  <si>
    <t>OE LARANJA PERA (DOCE) LFC (DEST) GT BRASIL</t>
  </si>
  <si>
    <t>OE LARANJA SANGUINEA</t>
  </si>
  <si>
    <t>OE LARANJA SELVAGEM GT REPUBLICA DOMINICANA</t>
  </si>
  <si>
    <t>OE LARANJA T LESS</t>
  </si>
  <si>
    <t>OE LARANJA VALENCIA (DOCE) GT BRASIL</t>
  </si>
  <si>
    <t xml:space="preserve">OE LARANJA-DOCE "PÊRA" GT BRASIL 5 ML - PROVADOR </t>
  </si>
  <si>
    <t xml:space="preserve">OE LARIX "TAMARACK" GT CANADA </t>
  </si>
  <si>
    <t>OE LAVANDA 10 ML (MIO)</t>
  </si>
  <si>
    <t>OE LAVANDA 40/42</t>
  </si>
  <si>
    <t xml:space="preserve">OE LAVANDA ALGODAO </t>
  </si>
  <si>
    <t>OE LAVANDA ARÇA</t>
  </si>
  <si>
    <t>VITOR MANUEL</t>
  </si>
  <si>
    <t>OE LAVANDA BRANCA GT PORTUGAL</t>
  </si>
  <si>
    <t>OE LAVANDA BUENA VISTA</t>
  </si>
  <si>
    <t>OE LAVANDA DA PATAGONIA</t>
  </si>
  <si>
    <t>OE LAVANDA DA RUSSIA</t>
  </si>
  <si>
    <t>OE LAVANDA DENTATA ORG</t>
  </si>
  <si>
    <t>OE LAVANDA FINA (INGLESA)</t>
  </si>
  <si>
    <t>ELIXAROME</t>
  </si>
  <si>
    <t>OE LAVANDA FINA GT BULGARIA</t>
  </si>
  <si>
    <t>OE LAVANDA FINA GT FRANÇA</t>
  </si>
  <si>
    <t>OE LAVANDA FINA GT GRECIA ORGANICA</t>
  </si>
  <si>
    <t>OE LAVANDA FOLGATE</t>
  </si>
  <si>
    <t>OE LAVANDA FÓRMULA</t>
  </si>
  <si>
    <t>OE LAVANDA GT BULGARIA DRG37 - AMOSTRA</t>
  </si>
  <si>
    <t>OE LAVANDA GT BULGARIA PF-L-H-17-20 - AMOSTRA</t>
  </si>
  <si>
    <t>OE LAVANDA HIDCOTE</t>
  </si>
  <si>
    <t>TÓTH JÓZSEF</t>
  </si>
  <si>
    <t>OE LAVANDA HUNGARA FOLHAS</t>
  </si>
  <si>
    <t>OE LAVANDA LADY BIRD</t>
  </si>
  <si>
    <t xml:space="preserve">OE LAVANDA LUISIERI GT PORTUGAL </t>
  </si>
  <si>
    <t>OE LAVANDA MAILLETTE</t>
  </si>
  <si>
    <t>COTSWOLD</t>
  </si>
  <si>
    <t>OE LAVANDA MAILLETTE GT INGLATERRA</t>
  </si>
  <si>
    <t>OE LAVANDA MUNSTEAD</t>
  </si>
  <si>
    <t>OE LAVANDA SELEÇÃO HÚNGARA</t>
  </si>
  <si>
    <t>OE LAVANDA SELVAGEM GT BULGARIA</t>
  </si>
  <si>
    <t>OE LAVANDA SPIKE GT ESPANHA</t>
  </si>
  <si>
    <t>OE LAVANDA VERDADEIRA GT EUA</t>
  </si>
  <si>
    <t>OE LAVANDA-FINA GT BULGÁRIA 3 ML - PROVADOR</t>
  </si>
  <si>
    <t>OE LAVANDIM ABRIALIS GT FRANÇA</t>
  </si>
  <si>
    <t>OE LAVANDIM GROSSO GT INGLATERRA</t>
  </si>
  <si>
    <t>OE LAVANDIM JUDIT</t>
  </si>
  <si>
    <t>OE LAVANDIM PROVENCE</t>
  </si>
  <si>
    <t>OE LAVANDIM TYPE H</t>
  </si>
  <si>
    <t xml:space="preserve">OE LEDUM CHA-DA-GROENLÂNDIA GT CANADA </t>
  </si>
  <si>
    <t>ALIKSIR</t>
  </si>
  <si>
    <t>OE LELESHWA GT KENIA</t>
  </si>
  <si>
    <t>OE LEVISTICO FOLHAS</t>
  </si>
  <si>
    <t>OE LIMA DA PERSIA (LIMA DOCE) GT BRASIL</t>
  </si>
  <si>
    <t>OE LIMA MEXICANA DESTILADA</t>
  </si>
  <si>
    <t>OE LIMA TAHITI GT BRASIL</t>
  </si>
  <si>
    <t>OE LIMA TAHITI ORG</t>
  </si>
  <si>
    <t>ECOCITRUS</t>
  </si>
  <si>
    <t xml:space="preserve">OE LIMAO CAPETA CASCAS </t>
  </si>
  <si>
    <t>OE LIMÃO SICILIANO 5X</t>
  </si>
  <si>
    <t>OE LIMAO SICILIANO ESSENCE</t>
  </si>
  <si>
    <t>OE LIMAO SICILIANO FMC</t>
  </si>
  <si>
    <t>OE LIMAO SICILIANO LFC DESTILADO GT BRASIL</t>
  </si>
  <si>
    <t xml:space="preserve">OE LIMÃO SICILIANO MADURO GT BRASIL </t>
  </si>
  <si>
    <t>CITRO FLAVOR</t>
  </si>
  <si>
    <t>OE LIMAO SICILIANO T LESS</t>
  </si>
  <si>
    <t xml:space="preserve">OE LIMAO SICILIANO VERDE </t>
  </si>
  <si>
    <t>OE LIMAO-SICILIANO MADURO GT BRASIL 5ML - PROVADOR</t>
  </si>
  <si>
    <t>OE LIRIO DO BREJO GT BRASIL</t>
  </si>
  <si>
    <t>OE LIRIO DO BREJO GT INDIA</t>
  </si>
  <si>
    <t>OE LOURO FOLHAS GT TURQUIA</t>
  </si>
  <si>
    <t>SYNTHITE BRASIL</t>
  </si>
  <si>
    <t>OE LUPULO GT CANADÁ</t>
  </si>
  <si>
    <t>OE LUPULO GT HUNGRIA</t>
  </si>
  <si>
    <t>OE MACELA DO CAMPO GT BRASIL</t>
  </si>
  <si>
    <t>OE MACIS</t>
  </si>
  <si>
    <t>OE MADEIRA DO SIAO</t>
  </si>
  <si>
    <t>OE MAGNOLIA FLORES GT CHINA</t>
  </si>
  <si>
    <t>OE MANAVAO GT MADAGASCAR</t>
  </si>
  <si>
    <t>OE MANDARINA AMARELA GT BRASIL</t>
  </si>
  <si>
    <t>OE MANDARINA DESTILADA (LFC)</t>
  </si>
  <si>
    <t>OE MANDARINA ESSENCE</t>
  </si>
  <si>
    <t xml:space="preserve">OE MANDARINA VERDE ESSENCE  </t>
  </si>
  <si>
    <t>OE MANDARINA VERDE GT BRASIL</t>
  </si>
  <si>
    <t>OE MANDARINA VERMELHA GT BRASIL</t>
  </si>
  <si>
    <t xml:space="preserve">OE MANJERIÇÃO (OCIMUM BASILICUM QT LINALOL) </t>
  </si>
  <si>
    <t>OE MANJERICAO ANIS ORG</t>
  </si>
  <si>
    <t>OE MANJERICAO CRAVO</t>
  </si>
  <si>
    <t xml:space="preserve">OE MANJERIÇÃO EXOTICO QT METIL CAVICOL </t>
  </si>
  <si>
    <t>OE MANJERICAO LIMAO QT CITRAL GT EUA</t>
  </si>
  <si>
    <t>OE MANJERICAO PREMIUM GT BRASIL</t>
  </si>
  <si>
    <t>OE MANJERICAO SANTO GT INDIA</t>
  </si>
  <si>
    <t>OE MANJERONA (DOCE) VERDADEIRA GT HUNGRIA</t>
  </si>
  <si>
    <t xml:space="preserve">OE MANJERONA SILVESTRE </t>
  </si>
  <si>
    <t>OE MANJERONA VERDADEIRA GT EGITO</t>
  </si>
  <si>
    <t>OE MANUKA - QT LEPTOSPERMONA</t>
  </si>
  <si>
    <t>OE MAPO GT BRASIL</t>
  </si>
  <si>
    <t>OE MASSOIA CASCAS GT INDONESIA</t>
  </si>
  <si>
    <t>OE MASTIC LENTISCO GT MARROCOS</t>
  </si>
  <si>
    <t xml:space="preserve">OE MASTIQUE GT MARROCOS </t>
  </si>
  <si>
    <t>OE MATICO (FALSO - JABORANDI) GT PERU</t>
  </si>
  <si>
    <t>OE MAY CHANG GT CHINA (LITSEA CUBEBA)</t>
  </si>
  <si>
    <t>OE MAY CHANG GT CHINA 10 ML (LITSEA CUBEBA)</t>
  </si>
  <si>
    <t>OE MELISSA GT BULGARIA - AMOSTRA</t>
  </si>
  <si>
    <t xml:space="preserve">OE MELISSA GT SERVIA </t>
  </si>
  <si>
    <t xml:space="preserve">OE MENTRASTO (CATINGA-DE-MULATA) GT BRASIL </t>
  </si>
  <si>
    <t>OE MILEFOLIO AZUL GT INGLATERRA</t>
  </si>
  <si>
    <t xml:space="preserve">OE MIRRA DA ETIOPIA GT ETIOPIA </t>
  </si>
  <si>
    <t xml:space="preserve">OE MIRRA DA SOMALIA RESINA </t>
  </si>
  <si>
    <t>OE MIRRA DO KENIA</t>
  </si>
  <si>
    <t>OE MONARDA ROSA GT CANADA</t>
  </si>
  <si>
    <t xml:space="preserve">OE MONARDA VERMELHA </t>
  </si>
  <si>
    <t xml:space="preserve">OE MUNA (POEJO - DOS ANDES) GT PERU </t>
  </si>
  <si>
    <t>OE MURTA CINEOL GT ESPANHA</t>
  </si>
  <si>
    <t>OE MURTA DOS ANDES (ARRYAN) GT PERU</t>
  </si>
  <si>
    <t>OE MURTA LIMÃO GT AUSTRALIA</t>
  </si>
  <si>
    <t>OE MURTA QT ACETATO DE MIRTENILA</t>
  </si>
  <si>
    <t>OE MURTA QT CINEOL TUNISIA</t>
  </si>
  <si>
    <t>OE MURTA QT LINALOL GT TURQUIA</t>
  </si>
  <si>
    <t>OE NARDO VERDE</t>
  </si>
  <si>
    <t>OE NARDO VERMELHO GT INDIA</t>
  </si>
  <si>
    <t>OE NEROLI GT EGITO</t>
  </si>
  <si>
    <t>OE NEROLI GT TUNISIA</t>
  </si>
  <si>
    <t>OE NIAOULI QT CINEOL GT MADAGASCAR</t>
  </si>
  <si>
    <t>CITRAL ÓLEOS</t>
  </si>
  <si>
    <t>OE NOOTKA TREE GT CANADA</t>
  </si>
  <si>
    <t>OE NOZ MOSCADA GT BRASIL (CINEOL)</t>
  </si>
  <si>
    <t xml:space="preserve">OE NOZ MOSCADA GT INDONESIA (MIRISTICINA) </t>
  </si>
  <si>
    <t>OE OLIBANO DA ETIOPIA</t>
  </si>
  <si>
    <t>OE OLIBANO DA INDIA</t>
  </si>
  <si>
    <t>OE OLIBANO DA SOMALIA</t>
  </si>
  <si>
    <t>OE OLIBANO DO DESERTO VAR. CARTERI GT SOMALIA</t>
  </si>
  <si>
    <t xml:space="preserve">OE OLIBANO DO SUDÃO </t>
  </si>
  <si>
    <t xml:space="preserve">OE OLIBANO MAYDI VAR. FREREANA </t>
  </si>
  <si>
    <t>OE OLIBANO NEGRO GT KENIA</t>
  </si>
  <si>
    <t xml:space="preserve">OE OLIBANO SAGRADO </t>
  </si>
  <si>
    <t xml:space="preserve">OE OPOPONAX </t>
  </si>
  <si>
    <t>OE OREGANO (AMOSTRA)</t>
  </si>
  <si>
    <t>OE OREGANO COMPACTO</t>
  </si>
  <si>
    <t>OE OREGANO DA GRECIA</t>
  </si>
  <si>
    <t>OE OREGANO DA SIRIA</t>
  </si>
  <si>
    <t>OE OREGANO DO MEDITERRANEO</t>
  </si>
  <si>
    <t>OE OREGANO ESPANHOL GT ALBANIA</t>
  </si>
  <si>
    <t xml:space="preserve">OE OREGANO EXTRA GT HUNGRIA </t>
  </si>
  <si>
    <t xml:space="preserve">OE OREGANO QT CARVACROL GT TURQUIA </t>
  </si>
  <si>
    <t>OE PALMAROSA</t>
  </si>
  <si>
    <t>OE PALO PICHE MONTE NEGRO</t>
  </si>
  <si>
    <t xml:space="preserve">OE PARAMELA (CHA-DOS-PAMPAS) GT ARGENTINA </t>
  </si>
  <si>
    <t xml:space="preserve">OE PARIPAROBA "CAPEBA" </t>
  </si>
  <si>
    <t>OE PATCHOULI (ESCURO) GT INDONESIA</t>
  </si>
  <si>
    <t xml:space="preserve">OE PATCHOULI (RESERVADO) GT INDONESIA </t>
  </si>
  <si>
    <t>OE PATCHOULI CLARO GT INDONESIA</t>
  </si>
  <si>
    <t>OE PAU PIMENTA "PIMENTEIRA" GT BRASIL</t>
  </si>
  <si>
    <t>ENOCH</t>
  </si>
  <si>
    <t>OE PAU ROSA MADEIRA</t>
  </si>
  <si>
    <t>OE PAU SANTO (GUAIACO) GT EQUADOR</t>
  </si>
  <si>
    <t>OE PAU SANTO FRUTOS GT EQUADOR</t>
  </si>
  <si>
    <t>OE PAU SANTO MADEIRA GT EQUADOR</t>
  </si>
  <si>
    <t>OE PESSEGO FOLHAS</t>
  </si>
  <si>
    <t>OE PETITGRAIN LARANJA AMARGA DA TERRA</t>
  </si>
  <si>
    <t>OE PETITGRAIN LIMA DA PERSIA</t>
  </si>
  <si>
    <t xml:space="preserve">OE PETITGRAIN LIMA KAFFIR  COMBAVA  </t>
  </si>
  <si>
    <t xml:space="preserve">OE PETITGRAIN LIMAO CAPETA (CRAVO) GT BRASIL </t>
  </si>
  <si>
    <t xml:space="preserve">OE PETITGRAIN LIMAO RUGOSO GT PERU </t>
  </si>
  <si>
    <t>OE PETITGRAIN LIMAO SICILIANO</t>
  </si>
  <si>
    <t>OE PETITGRAIN MANDARINA GT BRASIL</t>
  </si>
  <si>
    <t>OE PETITGRAIN POMELO GT PERU</t>
  </si>
  <si>
    <t xml:space="preserve">OE PETITGRAIN TANGERINA PONKAN GT BRASIL </t>
  </si>
  <si>
    <t xml:space="preserve">OE PIMENTA DA JAMAICA </t>
  </si>
  <si>
    <t>OE PIMENTA PRETA (PIMENTA DO REINO) GT INDIA</t>
  </si>
  <si>
    <t>OE PIMENTA ROSA ORG</t>
  </si>
  <si>
    <t>OE PINDAIBA FRUTOS QT MIRCENO</t>
  </si>
  <si>
    <t>OE PINHEIRO AMARELO DO OESTE GT ARGENTINA</t>
  </si>
  <si>
    <t>OE PINHEIRO ANAO</t>
  </si>
  <si>
    <t>OE PINHEIRO DA ÁUSTRIA</t>
  </si>
  <si>
    <t>OE PINHEIRO MARITIMO</t>
  </si>
  <si>
    <t>OE PINHEIRO SILVESTRE GT BULGARIA</t>
  </si>
  <si>
    <t>OE PINHEIRO TAEDA</t>
  </si>
  <si>
    <t>OE PITANGA FOLHAS GT BRASIL</t>
  </si>
  <si>
    <t>PALO</t>
  </si>
  <si>
    <t>FAZENDA ALPINA</t>
  </si>
  <si>
    <t>OE PLAI RIZOMAS GT TAILANDIA</t>
  </si>
  <si>
    <t>OE POEJO EUROPEU GT USA</t>
  </si>
  <si>
    <t>OE PRECIOSA (MADEIRA)</t>
  </si>
  <si>
    <t>OE PRIPRIOCA GT BRASIL</t>
  </si>
  <si>
    <t>OE PRIPRIOCA GT INDIA</t>
  </si>
  <si>
    <t>OE RAVENSARA ANISATA</t>
  </si>
  <si>
    <t>OE RAVENSARA AROMATICA</t>
  </si>
  <si>
    <t xml:space="preserve">OE RAVINTSARA GT MADAGASCAR </t>
  </si>
  <si>
    <t xml:space="preserve">OE ROSA BRANCA GT BULGARIA </t>
  </si>
  <si>
    <t>OE ROSA DE DAMASCO GT MARROCOS</t>
  </si>
  <si>
    <t>OE ROSA GT BULGARIA - AMOSTRA</t>
  </si>
  <si>
    <t>OE SALSA PLANTA</t>
  </si>
  <si>
    <t>OE SALSA SEMENTES GT INDIA</t>
  </si>
  <si>
    <t xml:space="preserve">OE SALVIA BLUE MOUNTAIN </t>
  </si>
  <si>
    <t>OE SALVIA BRANCA GT EUA</t>
  </si>
  <si>
    <t>OE SALVIA DALMACIANA</t>
  </si>
  <si>
    <t>OE SALVIA DALMACIANA (AMOSTRA)</t>
  </si>
  <si>
    <t>OE SALVIA ESCLAREA 2-4% ESCLAREOL GT EUA</t>
  </si>
  <si>
    <t xml:space="preserve">OE SALVIA ESCLAREA GT BULGÁRIA </t>
  </si>
  <si>
    <t>OE SALVIA ESCLAREIA ESCURA GT FRANÇA</t>
  </si>
  <si>
    <t>OE SALVIA ESPANHOLA</t>
  </si>
  <si>
    <t>OE SANDALO AFRICANO  MUHUHU  GT KENIA</t>
  </si>
  <si>
    <t>OE SANDALO AMYRIS - GT HAITI</t>
  </si>
  <si>
    <t>OE SANDALO AUSTRALIANO</t>
  </si>
  <si>
    <t>OE SANDALO DO HAVAI</t>
  </si>
  <si>
    <t>OE SANDALO MYSORE GT INDIA</t>
  </si>
  <si>
    <t xml:space="preserve">OE SANDALO PAPUA GT NOVA GUIME </t>
  </si>
  <si>
    <t xml:space="preserve">OE SARO GT MADAGASCAR </t>
  </si>
  <si>
    <t>OE SEGURELHA GT BULGARIA - AMOSTRA</t>
  </si>
  <si>
    <t xml:space="preserve">OE SEGURELHA GT ITALIA </t>
  </si>
  <si>
    <t xml:space="preserve">OE SEMPRE VIVA DAS AREIAS GT PORTUGAL </t>
  </si>
  <si>
    <t>OE SEMPRE VIVA FARADIFANI</t>
  </si>
  <si>
    <t>OE SEMPRE VIVA FEMEA (RAMBIAZANA) GT MAD.</t>
  </si>
  <si>
    <t>OE SEMPRE VIVA IMMORTELLE GT BOSNIA</t>
  </si>
  <si>
    <t>OE SEMPRE VIVA MACHO</t>
  </si>
  <si>
    <t>OE SHADDOCK - POMELO</t>
  </si>
  <si>
    <t>OE SHISO GT JAPÃO</t>
  </si>
  <si>
    <t>OE SUCUPIRA BRANCA SEMENTES GT BRASIL</t>
  </si>
  <si>
    <t>OE TABACO CACHIMBO CHOCOLATE</t>
  </si>
  <si>
    <t xml:space="preserve">OE TAGETES GT MADAGASCAR </t>
  </si>
  <si>
    <t>OE TANA (ISSA) FOLHAS GT MADAGASCAR</t>
  </si>
  <si>
    <t>OE TANACETO AZUL GT MARROCOS</t>
  </si>
  <si>
    <t xml:space="preserve">OE TANGELO </t>
  </si>
  <si>
    <t xml:space="preserve">OE TANGERINA DESTILADA </t>
  </si>
  <si>
    <t>OE TANGERINA PONKAN</t>
  </si>
  <si>
    <t>OE TEA TREE 10 ML (MIO)</t>
  </si>
  <si>
    <t>OE TEA TREE BRANCO QT CINEOL GT BRASIL</t>
  </si>
  <si>
    <t>ROMMEL</t>
  </si>
  <si>
    <t>OE TEA TREE GT AUSTRALIA</t>
  </si>
  <si>
    <t xml:space="preserve">OE TEA TREE GT BRASIL </t>
  </si>
  <si>
    <t xml:space="preserve">OE TEA TREE GT BRASIL 3 ML - PROVADOR </t>
  </si>
  <si>
    <t>OE TEA TREE LAVANDA (ROSALINA) GT AUSTRALIA</t>
  </si>
  <si>
    <t xml:space="preserve">OE TEA TREE LIMAO </t>
  </si>
  <si>
    <t>OE TOMILHO BRANCO QT TIMOL GT HUNGRIA</t>
  </si>
  <si>
    <t>OE TOMILHO QT BORNEOL</t>
  </si>
  <si>
    <t>OE TOMILHO QT GERANIOL GT FRANCA</t>
  </si>
  <si>
    <t xml:space="preserve">OE TOMILHO QT LINALOL </t>
  </si>
  <si>
    <t>OE TOMILHO QT TUIANOL GT FRANÇA</t>
  </si>
  <si>
    <t>OE TOMILHO SERPOLET</t>
  </si>
  <si>
    <t>OE TOMILHO SPIKE</t>
  </si>
  <si>
    <t>OE TOMILHO VERMELHO QT TIMOL GT ESPANHA</t>
  </si>
  <si>
    <t>OE TUIA MAÇA</t>
  </si>
  <si>
    <t>OE TUIA ORIENTAL</t>
  </si>
  <si>
    <t>OE TURMERICO RIZOMAS (CURCUMA)</t>
  </si>
  <si>
    <t xml:space="preserve">OE VALERIANA COMUM RAIZES </t>
  </si>
  <si>
    <t>OE VALERIANA INDIANA RAIZES</t>
  </si>
  <si>
    <t>OE VERBENA BRANCA QT LINALOL ORG.GT BRASIL</t>
  </si>
  <si>
    <t xml:space="preserve">OE VETIVER GT BRASIL </t>
  </si>
  <si>
    <t>OE VETIVER GT INDONESIA</t>
  </si>
  <si>
    <t>OE VETIVER HAITI</t>
  </si>
  <si>
    <t>OE VETIVER HD GT HAITI</t>
  </si>
  <si>
    <t>OE VITEX FRUTOS GT TURQUIA</t>
  </si>
  <si>
    <t>OE WINTERGREEN GT CHINA</t>
  </si>
  <si>
    <t>OE WINTERGREEN INDIANO</t>
  </si>
  <si>
    <t xml:space="preserve">OE XANTOXILUM </t>
  </si>
  <si>
    <t>OE YLANG YLANG COMPLETO GT INDONESIA</t>
  </si>
  <si>
    <t>OE YLANG YLANG COMPLETO GT MADAGASCAR</t>
  </si>
  <si>
    <t>OE YLANG YLANG COMPLETO GT NOVA GUINE</t>
  </si>
  <si>
    <t>OE YLANG YLANG EXTRA GT INDONESIA</t>
  </si>
  <si>
    <t>OE YLANG YLANG I GT CHINA</t>
  </si>
  <si>
    <t xml:space="preserve">OE YLANG YLANG I GT MADAGASCAR </t>
  </si>
  <si>
    <t>OE YLANG YLANG II GT MADAGASCAR</t>
  </si>
  <si>
    <t>OE YLANG YLANG III GT ILHAS COMORES</t>
  </si>
  <si>
    <t>OE YLANG YLANG III GT MADAGASCAR</t>
  </si>
  <si>
    <t>OE YUZU GT JAPAO</t>
  </si>
  <si>
    <t>OE ZINZIBA GT AFRICA DO SUL</t>
  </si>
  <si>
    <t>OG ABACATE NATURAL</t>
  </si>
  <si>
    <t>N - ASSAD</t>
  </si>
  <si>
    <t>OG ABOBORA SEMENTES EXTRA VIRGEM</t>
  </si>
  <si>
    <t>VERIS OLEOS VEGETAIS</t>
  </si>
  <si>
    <t>OG AMENDOAS DOCES PRENSADO A FRIO</t>
  </si>
  <si>
    <t>OG ANDIROBA EXTRA-VIRGEM</t>
  </si>
  <si>
    <t>H FREITAS</t>
  </si>
  <si>
    <t>OG ARGAN FORMULA</t>
  </si>
  <si>
    <t>ASTHOM</t>
  </si>
  <si>
    <t>OG ARGAN PURO</t>
  </si>
  <si>
    <t>OG AVELA EXTRA-VIRGEM</t>
  </si>
  <si>
    <t>OG BABAÇU BRUTO ORGANICO</t>
  </si>
  <si>
    <t>COOP DOS PEQ PROD</t>
  </si>
  <si>
    <t>OG BORRAGEM</t>
  </si>
  <si>
    <t xml:space="preserve">OG BURITI EXTRA-VIRGEM </t>
  </si>
  <si>
    <t>EBPM</t>
  </si>
  <si>
    <t>OG GERGELIM EXTRA-VIRGEM</t>
  </si>
  <si>
    <t>SUM SUM HONG</t>
  </si>
  <si>
    <t>OG GERME DE TRIGO</t>
  </si>
  <si>
    <t>OG GIRASSOL PRENSADO A FRIO</t>
  </si>
  <si>
    <t>CEBAL COMERCIO</t>
  </si>
  <si>
    <t>OG GROSELHA NEGRA</t>
  </si>
  <si>
    <t xml:space="preserve">OG JOJOBA </t>
  </si>
  <si>
    <t>OG LICURI</t>
  </si>
  <si>
    <t>LICURI BRASIL</t>
  </si>
  <si>
    <t>OG LINHAÇA PRENSADO A FRIO</t>
  </si>
  <si>
    <t xml:space="preserve">OG MACADAMIA </t>
  </si>
  <si>
    <t>OG MARACUJA SEMENTES VIRGEM</t>
  </si>
  <si>
    <t xml:space="preserve">AGRINOR </t>
  </si>
  <si>
    <t>OG NEEM EXTRA-VIRGEM</t>
  </si>
  <si>
    <t>OG PALMISTE TR VERDE</t>
  </si>
  <si>
    <t>ALMAD</t>
  </si>
  <si>
    <t>OG PRACAXI</t>
  </si>
  <si>
    <t>CITROBIO</t>
  </si>
  <si>
    <t>OG PRÍMULA</t>
  </si>
  <si>
    <t>CONCEPTA INGREDIENTES</t>
  </si>
  <si>
    <t xml:space="preserve">OLEO VEGETAL </t>
  </si>
  <si>
    <t>OG RICINO (MAMONA) EXTRA-VIRGEM</t>
  </si>
  <si>
    <t>OG ROSA MOSQUETA</t>
  </si>
  <si>
    <t>OG TAMANU EXTRA VIRGEM</t>
  </si>
  <si>
    <t>OG URUCUM EXTRA-VIRGEM</t>
  </si>
  <si>
    <t>BERACA</t>
  </si>
  <si>
    <t xml:space="preserve">OG UVA SEMENTES EXTRA VIRGEM </t>
  </si>
  <si>
    <t>OM CAFE TORRADO GT BRASIL</t>
  </si>
  <si>
    <t>LINAX</t>
  </si>
  <si>
    <t>OM CAFE VERDE GT BRASIL</t>
  </si>
  <si>
    <t>OM COMINHO PRETO</t>
  </si>
  <si>
    <t xml:space="preserve">OM CUMARU </t>
  </si>
  <si>
    <t>OR BAUNILHA GT MADAGASCAR</t>
  </si>
  <si>
    <t>OLEORESINA</t>
  </si>
  <si>
    <t>OR COPAIBA BRANCA GT BRASIL</t>
  </si>
  <si>
    <t>MATOAM ÓLEOS</t>
  </si>
  <si>
    <t xml:space="preserve">OR COPAIBA VERMELHA OLEORESINA  </t>
  </si>
  <si>
    <t>OLEORESINAS</t>
  </si>
  <si>
    <t>OR GENGIBRE GT INDIA</t>
  </si>
  <si>
    <t>OR MIRRA DA INDIA (OLEORESINA)</t>
  </si>
  <si>
    <t>OR PIMENTA PRETA GT ÍNDIA</t>
  </si>
  <si>
    <t>SUNSET</t>
  </si>
  <si>
    <t xml:space="preserve">OR SANGUE DE DRAGAO GT BRASIL  </t>
  </si>
  <si>
    <t xml:space="preserve">OR TURMERICO CURCUMA </t>
  </si>
  <si>
    <t>OREGANO FLOCOS</t>
  </si>
  <si>
    <t xml:space="preserve">MATRIX COMERCIO </t>
  </si>
  <si>
    <t>OREGANO PERUANO 12,5KG</t>
  </si>
  <si>
    <t>PAPEL DE PH UNIVERSAL 0-14 C/150 TIRAS</t>
  </si>
  <si>
    <t>FR</t>
  </si>
  <si>
    <t>PARFUM (BL MELISSA 5 ML)</t>
  </si>
  <si>
    <t>PARFUM (BL PAU ROSA 5 ML)</t>
  </si>
  <si>
    <t>PARFUM (SN 4 LADRÕES) 10 ML</t>
  </si>
  <si>
    <t>PARFUM (SN CABELOS 5ML)</t>
  </si>
  <si>
    <t>PARFUM (SN CALMA E PAZ 5 ML)</t>
  </si>
  <si>
    <t>PARFUM (SN EQUILIBRIO E BEM ESTAR 5 ML)</t>
  </si>
  <si>
    <t>PARFUM (SN FITONCIDAS) 5 ML</t>
  </si>
  <si>
    <t>PARFUM (SN MULHER 5ML)</t>
  </si>
  <si>
    <t>PARFUM (SN PULMINUM 5 ML)</t>
  </si>
  <si>
    <t>PARFUM (SN RAKU 5ML)</t>
  </si>
  <si>
    <t>PARFUM (SN SINUS 5ML)</t>
  </si>
  <si>
    <t>PARFUM (SN SONO E SONHOS) 5 ML</t>
  </si>
  <si>
    <t>PATCHOULOL</t>
  </si>
  <si>
    <t>PROMICINA NATAMICINA</t>
  </si>
  <si>
    <t>PROREGI</t>
  </si>
  <si>
    <t>PROVADOR SN CHAKRAS 1 MULADHARA 3 ML</t>
  </si>
  <si>
    <t>CHAKRAS (SINERGIAS)</t>
  </si>
  <si>
    <t>PROVADOR SN CHAKRAS 2 SVADHISTHANA 3 ML</t>
  </si>
  <si>
    <t>PROVADOR SN CHAKRAS 3 MANIPURA 3 ML</t>
  </si>
  <si>
    <t>PROVADOR SN CHAKRAS 4 ANAHATA 3 ML</t>
  </si>
  <si>
    <t>PROVADOR SN CHAKRAS 5 VISHUDA 3 ML</t>
  </si>
  <si>
    <t>PROVADOR SN CHAKRAS 6 AJNA 3 ML</t>
  </si>
  <si>
    <t>PROVADOR SN CHAKRAS 7 SAHASRARA 3 ML</t>
  </si>
  <si>
    <t>REFIL OE ALECRIM QT CINEOL 4,5 ML</t>
  </si>
  <si>
    <t xml:space="preserve">OE REFIL PARA KITS </t>
  </si>
  <si>
    <t>REFIL OE CAPIM LIMÃO 4,5 ML</t>
  </si>
  <si>
    <t>REFIL OE EUCALIPTO GLOBULOS 4,5 ML</t>
  </si>
  <si>
    <t>REFIL OE HORTELÃ-PIMENTA 4,5 ML</t>
  </si>
  <si>
    <t>REFIL OE LARANJA-DOCE 4,5 ML</t>
  </si>
  <si>
    <t>REFIL OE LAVANDA 4,5 ML</t>
  </si>
  <si>
    <t>REFIL OE LIMÃO SICILIANO 4,5 ML</t>
  </si>
  <si>
    <t>REFIL OE NARDO VERDE GT NEPAL 4,5 ML</t>
  </si>
  <si>
    <t>REFIL OE PINHEIRO SILVESTRE 4,5 ML</t>
  </si>
  <si>
    <t>REFIL OE SALVIA-DALMACIANA 4,5 ML</t>
  </si>
  <si>
    <t>REFIL OE SANDALO 10% 4,5 ML</t>
  </si>
  <si>
    <t>REFIL OE TOMILHO QT TIMOL 4,5 ML</t>
  </si>
  <si>
    <t>REFIL OE VETIVER 4,5 ML</t>
  </si>
  <si>
    <t>REPIPETADOR 2 LITROS FRASCO TRANSPARENTE</t>
  </si>
  <si>
    <t>CITUA MAQUINAS</t>
  </si>
  <si>
    <t>ROLO NA MEDIDA 24X4MM X 4CARREIRAS</t>
  </si>
  <si>
    <t>ETIMIX ETIQUETAS LTDA</t>
  </si>
  <si>
    <t>ROT ABS ACACIA DOCE GT 10% EGITO 10ML</t>
  </si>
  <si>
    <t>ROT ABS ACACIA DOCE GT EGITO 5ML</t>
  </si>
  <si>
    <t>ROT ABS ACACIA-MIMOSA GT FRANÇA 5ML</t>
  </si>
  <si>
    <t>ROT ABS AÇAFRAO 10% GT FRANÇA 10 ML</t>
  </si>
  <si>
    <t>ROT ABS AÇAFRAO GT FRANÇA 5 ML</t>
  </si>
  <si>
    <t>ROT ABS AÇAFROA (FLORES) GT ÍNDIA 10% 10 ML</t>
  </si>
  <si>
    <t>ROT ABS AÇAFROA (FLORES) GT ÍNDIA 5 ML</t>
  </si>
  <si>
    <t>ROT ABS ALGAS-MARINHAS 10% GT FRANÇA 10 ML</t>
  </si>
  <si>
    <t>ROT ABS ALGAS-MARINHAS GT FRANÇA 5 ML</t>
  </si>
  <si>
    <t>ROT ABS AMBAR ESTORAQUE 10 ML</t>
  </si>
  <si>
    <t>ROT ABS AMENDOIM TORRADO 10 ML</t>
  </si>
  <si>
    <t>ROT ABS ANGELICA (RAIZES) GT CHINA 5ML</t>
  </si>
  <si>
    <t>ROT ABS ARNICA MONTANA ABS 10% 10 ML</t>
  </si>
  <si>
    <t>ROT ABS ARNICA-MONTANA "VERDADEIRA" GT FRANÇA 5ML</t>
  </si>
  <si>
    <t>ROT ABS AZEVÉM SECO 10% GT FRANÇA 10ML</t>
  </si>
  <si>
    <t>ROT ABS BALSAMO DO PERU GT PERU 10 ML</t>
  </si>
  <si>
    <t>ROT ABS BALSAMO DO TOLU GT SALVADOR 10 ML</t>
  </si>
  <si>
    <t>ROT ABS BAUNILHA 5ML</t>
  </si>
  <si>
    <t>ROT ABS BAUNILHA GT MADAGASCAR 10% 10 ML</t>
  </si>
  <si>
    <t>ROT ABS BENJOIM DO SIÃO GT LAOS 10ML</t>
  </si>
  <si>
    <t>ROT ABS CACAU (CHOCOLATE) GT FRANÇA 30% 10 ML</t>
  </si>
  <si>
    <t>ROT ABS CACAU GT EUA 5ML</t>
  </si>
  <si>
    <t>ROT ABS CAPIM BAUNILHA 10% GT FRANÇA 10ML</t>
  </si>
  <si>
    <t>ROT ABS CASSIS BOTOES 10% GROSELHA NEGRA 10 ML</t>
  </si>
  <si>
    <t>ROT ABS CERA DE ABELHA 10% GT FRANÇA 10 ML</t>
  </si>
  <si>
    <t>ROT ABS CHAMPACA AMARELA 10% GT INDIA 10 ML</t>
  </si>
  <si>
    <t>ROT ABS CHAMPACA ROSA 10% GT ÍNDIA 10 ML</t>
  </si>
  <si>
    <t>ROT ABS CRAVEIRO GT EGITO 10,1ML</t>
  </si>
  <si>
    <t>ROT ABS CRISÂNTEMO 10% GT INDIA 10 ML</t>
  </si>
  <si>
    <t>ROT ABS CUMARU FAVA TONKA 10 ML</t>
  </si>
  <si>
    <t>ROT ABS ESTORAQUE GT HONDURAS 5ML</t>
  </si>
  <si>
    <t>ROT ABS FRANGIPANI 10% GT INDIA 10 ML</t>
  </si>
  <si>
    <t>ROT ABS FRANGIPANI GT INDIA 5 ML</t>
  </si>
  <si>
    <t>ROT ABS FUNGHI PORCINI 10 ML</t>
  </si>
  <si>
    <t>ROT ABS FUNGHI PORCINI ABS GT FRANÇA 5</t>
  </si>
  <si>
    <t>ROT ABS JASMIM REAL 10% GT INDIA 10ML</t>
  </si>
  <si>
    <t>ROT ABS JASMIM REAL GT INDIA 5ML</t>
  </si>
  <si>
    <t>ROT ABS JASMIM SAMBAC 10% GT INDIA 10ML</t>
  </si>
  <si>
    <t>ROT ABS JASMIM SAMBAC GT INDIA 5ML</t>
  </si>
  <si>
    <t>ROT ABS JUNQUILHO 10% 10ML</t>
  </si>
  <si>
    <t>ROT ABS LADANO (CISTO) RESINOIDE GT 50ML</t>
  </si>
  <si>
    <t>ROT ABS LADANO (CISTO) RESINOIDE GT ESPANHA 10ML</t>
  </si>
  <si>
    <t>ROT ABS LADANO (CISTO) RESINOIDE GT ESPANHA 5 ML</t>
  </si>
  <si>
    <t>ROT ABS LAVANDA "VERDADEIRA" GT FRANÇA 5ML</t>
  </si>
  <si>
    <t>ROT ABS LAVANDIM GROSSO GT FRANÇA 10 ML</t>
  </si>
  <si>
    <t>ROT ABS LOTUS BRANCO ABS 10% 10 ML</t>
  </si>
  <si>
    <t>ROT ABS LOTUS BRANCO GT INDIA 5 ML</t>
  </si>
  <si>
    <t>ROT ABS LOTUS ROSA ABS 10% 10 ML</t>
  </si>
  <si>
    <t>ROT ABS MATE ERVA MATE GT BRASIL 10 ML</t>
  </si>
  <si>
    <t>ROT ABS MIRRA INDIANA (OLEORESINA) 10 ML</t>
  </si>
  <si>
    <t>ROT ABS MIRRA INDIANA 5 ML</t>
  </si>
  <si>
    <t>ROT ABS MUSGO DE CARVALHO GT MACEDONIA 10 ML</t>
  </si>
  <si>
    <t>ROT ABS NARCISO 10% 10ML</t>
  </si>
  <si>
    <t>ROT ABS OSMANTHUS 10% 10 ML</t>
  </si>
  <si>
    <t>ROT ABS OSMANTHUS GT CHINA 5 ML</t>
  </si>
  <si>
    <t>ROT ABS ROSA DA ANATOLIA 10% 10ML</t>
  </si>
  <si>
    <t>ROT ABS ROSA DA BULGARIA GT BULGARIA 10% 10 ML</t>
  </si>
  <si>
    <t>ROT ABS ROSA DE MAIO GT EGITO 5 ML</t>
  </si>
  <si>
    <t>ROT ABS ROSA VERMELHA 10% GT AUSTRIA 10 ML</t>
  </si>
  <si>
    <t>ROT ABS ROSA VERMELHA GT RUSSIA 10% 10 ML</t>
  </si>
  <si>
    <t>ROT ABS ROSA-DA-BULGÁRIA GT BULGÁRIA 5 ML</t>
  </si>
  <si>
    <t>ROT ABS ROSA-DE-DAMASCO GT RUSSIA 10% 10 ML</t>
  </si>
  <si>
    <t>ROT ABS ROSA-DE-MAIO GT EGITO 10% 10 ML</t>
  </si>
  <si>
    <t>ROT ABS ROSA-VERMELHA GT RUSSIA 5ML</t>
  </si>
  <si>
    <t>ROT ABS SALVIA ESCLAREIA "CLARY SAGE" GT FRANÇA 5M</t>
  </si>
  <si>
    <t xml:space="preserve">ROT ABS SEMPRE VIVA DA AREIA 10% GT ESPANHA 10ML </t>
  </si>
  <si>
    <t>ROT ABS SEMPRE VIVA GT FRANÇA 10% 10ML</t>
  </si>
  <si>
    <t>ROT ABS SEMPRE VIVA GT FRANÇA 5 ML</t>
  </si>
  <si>
    <t>ROT ABS TABACO CHOCOLATE GT BRASIL 5 ML</t>
  </si>
  <si>
    <t>ROT ABS TABACO DOURADO GT BULGÁRIA 5 ML</t>
  </si>
  <si>
    <t>ROT ABS TABACO PRETO GT BULGÁRIA 5 ML</t>
  </si>
  <si>
    <t>ROT ABS TUBEROSA 10% 10ML</t>
  </si>
  <si>
    <t>ROT ABS TURMERICO 10 ML</t>
  </si>
  <si>
    <t>ROT ABS URUCUM (SEMENTES) GT BRASIL 5ML</t>
  </si>
  <si>
    <t xml:space="preserve">ROT ABS UVA BORDO CASCAS 10 ML </t>
  </si>
  <si>
    <t>ROT ABS VIOLETA (FOLHAS) GT EGITO 5ML</t>
  </si>
  <si>
    <t>ROT ABS VIOLETA ABS 10% FOLHAS GT EGITO 10 ML</t>
  </si>
  <si>
    <t>ROT ABS YUZU GT JAPAO 5ML</t>
  </si>
  <si>
    <t>ROT ALCOOL GEL 4 LADROES 100ML</t>
  </si>
  <si>
    <t>ROT ARGILA BRANCA 1KG</t>
  </si>
  <si>
    <t xml:space="preserve">ROT ARGILA BRANCA 230G </t>
  </si>
  <si>
    <t>ROT ARGILA DOURADA (AMARELA) 350G</t>
  </si>
  <si>
    <t xml:space="preserve">ROT ARGILA PRETA 350G </t>
  </si>
  <si>
    <t>ROT ARGILA ROSA 230G</t>
  </si>
  <si>
    <t>ROT ARGILA VERDE 1KG</t>
  </si>
  <si>
    <t>ROT ARGILA VERDE 350G</t>
  </si>
  <si>
    <t>ROT ARGILA VERMELHA 350G</t>
  </si>
  <si>
    <t>ROT ATTAR ABACAXI 10 ML</t>
  </si>
  <si>
    <t>ROT ATTAR ABACAXI 5 ML</t>
  </si>
  <si>
    <t>ROT ATTAR AMBAR FOSILL 5 ML</t>
  </si>
  <si>
    <t>ROT ATTAR CHA PRETO 10 ML</t>
  </si>
  <si>
    <t>ROT ATTAR CHA PRETO 5 ML</t>
  </si>
  <si>
    <t>ROT ATTAR ERVA-MATE 10 ML</t>
  </si>
  <si>
    <t>ROT ATTAR ERVA-MATE 5 ML</t>
  </si>
  <si>
    <t>ROT ATTAR GUACO 10 ML</t>
  </si>
  <si>
    <t>ROT ATTAR GUACO 5 ML</t>
  </si>
  <si>
    <t>ROT ATTAR MUSGO DAS PEDRAS 10 ML</t>
  </si>
  <si>
    <t>ROT ATTAR MUSGO DAS PEDRAS 5 ML</t>
  </si>
  <si>
    <t>ROT BL BAUNILHA 10 ML</t>
  </si>
  <si>
    <t>ROT BL CHA VERDE 10 ML</t>
  </si>
  <si>
    <t>ROT BL TERRA 10 ML</t>
  </si>
  <si>
    <t>ROT BL VERBENA LIMAO 10 ML</t>
  </si>
  <si>
    <t>ROT BO 4 LADRÕES 200 ML</t>
  </si>
  <si>
    <t>ROT BO 7 ERVAS 200ML</t>
  </si>
  <si>
    <t>ROT BO ALTO ASTRAL 200 ML</t>
  </si>
  <si>
    <t>ROT BO AMOR 200ML</t>
  </si>
  <si>
    <t>ROT BO AQUA SPA 200ML</t>
  </si>
  <si>
    <t>ROT BO CEU DE VERBENA 200 ML</t>
  </si>
  <si>
    <t>ROT BO ESTUDO 200ML</t>
  </si>
  <si>
    <t>ROT BO FLOR DE YLANG 200ML</t>
  </si>
  <si>
    <t>ROT BO LIRIO BRANCO 200ML</t>
  </si>
  <si>
    <t>ROT BO MADEIRAS D ORIENTE 200ML</t>
  </si>
  <si>
    <t>ROT BO MAHALILAH 200ML</t>
  </si>
  <si>
    <t>ROT BO PROVENCE 200 ML</t>
  </si>
  <si>
    <t>ROT BO REIKI 200ML</t>
  </si>
  <si>
    <t>ROT BO SANDALO 200 ML</t>
  </si>
  <si>
    <t>ROT BOUQUET ÂMBAR-FÓSSIL 10 ML</t>
  </si>
  <si>
    <t>ROT BOUQUET ÂMBAR-FÓSSIL 5 ML</t>
  </si>
  <si>
    <t>ROT BOUQUET BAUNILHA 5 ML</t>
  </si>
  <si>
    <t>ROT BOUQUET CHÁ VERDE 10 ML</t>
  </si>
  <si>
    <t>ROT BOUQUET CHÁ VERDE 5 ML</t>
  </si>
  <si>
    <t>ROT BOUQUET EXODO 10 ML</t>
  </si>
  <si>
    <t>ROT BOUQUET EXODO 5 ML</t>
  </si>
  <si>
    <t>ROT BOUQUET GLICÍNIA 5 ML</t>
  </si>
  <si>
    <t>ROT BOUQUET INCENSO 10 ML</t>
  </si>
  <si>
    <t>ROT BOUQUET INCENSO 5 ML</t>
  </si>
  <si>
    <t>ROT BOUQUET LILAS 10 ML</t>
  </si>
  <si>
    <t>ROT BOUQUET LILAS 5 ML</t>
  </si>
  <si>
    <t>ROT BOUQUET LIRIO DO VALE 10 ML</t>
  </si>
  <si>
    <t>ROT BOUQUET LIRIO DO VALE 5 ML</t>
  </si>
  <si>
    <t>ROT BOUQUET MADRESSILVA 10 ML</t>
  </si>
  <si>
    <t>ROT BOUQUET MADRESSILVA 5 ML</t>
  </si>
  <si>
    <t>ROT BOUQUET MÃE TERRA 10 ML</t>
  </si>
  <si>
    <t>ROT BOUQUET MÃE TERRA 5 ML</t>
  </si>
  <si>
    <t>ROT BOUQUET MELISSA 10 ML</t>
  </si>
  <si>
    <t>ROT BOUQUET MELISSA 5 ML</t>
  </si>
  <si>
    <t>ROT BOUQUET MUSK 10 ML</t>
  </si>
  <si>
    <t>ROT BOUQUET MUSK 5 ML</t>
  </si>
  <si>
    <t>ROT BOUQUET NEROLI 10 ML</t>
  </si>
  <si>
    <t>ROT BOUQUET NEROLI 5 ML</t>
  </si>
  <si>
    <t>ROT BOUQUET ORQUIDEA 10 ML</t>
  </si>
  <si>
    <t>ROT BOUQUET ORQUIDEA 5 ML</t>
  </si>
  <si>
    <t>ROT BOUQUET PAU ROSA 10 ML</t>
  </si>
  <si>
    <t>ROT BOUQUET PAU ROSA 5 ML</t>
  </si>
  <si>
    <t>ROT BOUQUET PITANGA 10 ML</t>
  </si>
  <si>
    <t>ROT BOUQUET PITANGA 5 ML</t>
  </si>
  <si>
    <t>ROT BOUQUET ROSA-BRANCA 10 ML</t>
  </si>
  <si>
    <t>ROT BOUQUET ROSA-BRANCA 5 ML</t>
  </si>
  <si>
    <t>ROT BOUQUET ROSA-VERMELHA 10 ML</t>
  </si>
  <si>
    <t>ROT BOUQUET ROSA-VERMELHA 5 ML</t>
  </si>
  <si>
    <t>ROT BOUQUET SÂNDALO 10 ML</t>
  </si>
  <si>
    <t>ROT BOUQUET SÂNDALO 5 ML</t>
  </si>
  <si>
    <t>ROT BOUQUET SEMPRE-VIVA 10 ML</t>
  </si>
  <si>
    <t>ROT BOUQUET SEMPRE-VIVA 5 ML</t>
  </si>
  <si>
    <t>ROT BOUQUET VERBENA 10 ML</t>
  </si>
  <si>
    <t>ROT BOUQUET VERBENA 5 ML</t>
  </si>
  <si>
    <t>ROT BOUQUET YUZU 10 ML</t>
  </si>
  <si>
    <t>ROT BOUQUET YUZU 5 ML</t>
  </si>
  <si>
    <t>ROT CB CREAM POTE 100G</t>
  </si>
  <si>
    <t>ROT CB CREAM TAMPA 100G</t>
  </si>
  <si>
    <t>ROT CB SANDALORE 10ML</t>
  </si>
  <si>
    <t>ROT CO ALOEGEL (GEL BASE COM ALOEVERA) 1KG</t>
  </si>
  <si>
    <t>ROT CO ALOEGEL (GEL BASE COM ALOEVERA) 200 G</t>
  </si>
  <si>
    <t>ROT CO ALOEGEL ESFOLIANTE 200G</t>
  </si>
  <si>
    <t>ROT CO CRISTAL PEELING 240G</t>
  </si>
  <si>
    <t>ROT CO DUO 200G</t>
  </si>
  <si>
    <t>ROT CO GEL ESFOLIANTE 200 G</t>
  </si>
  <si>
    <t>ROT CO GEL NEUTRO 1KG</t>
  </si>
  <si>
    <t>ROT CO GEL NEUTRO 200G</t>
  </si>
  <si>
    <t>ROT CO GEL ULTRA ABSORÇAO 200 G</t>
  </si>
  <si>
    <t>ROT CO MANTEIGA CACAU 100G (CORPO)</t>
  </si>
  <si>
    <t>ROT CO MANTEIGA CACAU 100G (TAMPA)</t>
  </si>
  <si>
    <t>ROT CO MANTEIGA CUPUAÇU 100G (CORPO)</t>
  </si>
  <si>
    <t>ROT CO MANTEIGA CUPUACU 100G (TAMPA)</t>
  </si>
  <si>
    <t>ROT CO MANTEIGA KARITE 100G (CORPO)</t>
  </si>
  <si>
    <t>ROT CO MANTEIGA KARITE 100G (TAMPA)</t>
  </si>
  <si>
    <t>ROT CO MANTEIGA MANGA 100G (CORPO)</t>
  </si>
  <si>
    <t>ROT CO MANTEIGA MANGA 100G (TAMPA)</t>
  </si>
  <si>
    <t>ROT CO MANTEIGA MIX 100G (CORPO)</t>
  </si>
  <si>
    <t>ROT CO MANTEIGA MIX 100G (TAMPA)</t>
  </si>
  <si>
    <t>ROT CO MASCARA ASIATICA C/ PA DE OSTRAS 500G</t>
  </si>
  <si>
    <t>ROT CO MASCARA ASIATICA C/ PO DE OSTRAS 150G</t>
  </si>
  <si>
    <t>ROT CO MASCARA DE ALGAS COM ARGILA VERDE 200G</t>
  </si>
  <si>
    <t>ROT CO MASCARA DE ALGAS COM ARGILA VERDE 800G</t>
  </si>
  <si>
    <t>ROT CO MASCARA VULCANICA 600G</t>
  </si>
  <si>
    <t>ROT CO MY CREAM PELES NORMAIS/OLEOSAS 1KG</t>
  </si>
  <si>
    <t>ROT CO MY CREAM PELES NORMAIS/OLEOSAS 200G</t>
  </si>
  <si>
    <t>ROT CO MY CREAM PELES SECAS (CREME BASE) 1KG</t>
  </si>
  <si>
    <t xml:space="preserve">ROT CO MY CREAM PELES SECAS (CREME BASE) 200G </t>
  </si>
  <si>
    <t xml:space="preserve">ROT CO POMADA AROMARESCUE 50 G </t>
  </si>
  <si>
    <t>ROT CO POMADA ICE RUB 50 G</t>
  </si>
  <si>
    <t>ROT CO POMADA MELALEUCA 50 G</t>
  </si>
  <si>
    <t>ROT CO SAIS DE MAGNESIO 420G</t>
  </si>
  <si>
    <t>ROT CO SERUM CLEOPATRA 30ML</t>
  </si>
  <si>
    <t>DIGITAL EXPRESS</t>
  </si>
  <si>
    <t>ROT CO SERUM CLEOPATRA 30ML (FRENTE)</t>
  </si>
  <si>
    <t>ROT CO SERUM CLEOPATRA 30ML (VERSO)</t>
  </si>
  <si>
    <t>ROT CO2 AGARWOOD 10% GT INDIA 10 ML</t>
  </si>
  <si>
    <t>ROT CO2 ALECRIM CO2-TO GT ESPANHA 5 ML</t>
  </si>
  <si>
    <t>ROT CO2 ALECRIM QT CÂNFORA (20/30%) CO2-SE 10 ML</t>
  </si>
  <si>
    <t>ROT CO2 BAUNILHA GT INDIA 5 ML</t>
  </si>
  <si>
    <t>ROT CO2 CALENDULA CO2-TO GT ALEMANHA 5 ML</t>
  </si>
  <si>
    <t>ROT CO2 CAMOMILA ALEMA CO2 SE 10 ML</t>
  </si>
  <si>
    <t>ROT CO2 CAMOMILA-ALEMÃ CO2-SE GT ALEMANHA 5ML</t>
  </si>
  <si>
    <t>ROT CO2 CAMOMILA-ALEMÃ CO2-TO GT ALEMANHA 5 ML</t>
  </si>
  <si>
    <t>ROT CO2 CANANGA-DO-JAPÃO CO2-SE GT ÍNDIA 5 ML</t>
  </si>
  <si>
    <t>ROT CO2 CANELA DO CEILAO TO 10 ML</t>
  </si>
  <si>
    <t>ROT CO2 CANELA DO CEILAO TO GT INDIA 5 ML</t>
  </si>
  <si>
    <t>ROT CO2 CENOURA (SEMENTES) GT ALEMANHA 5 ML</t>
  </si>
  <si>
    <t>ROT CO2 CHAMPACA AMARELA 10% 10 ML</t>
  </si>
  <si>
    <t>ROT CO2 COCO GT INDIA 10 ML</t>
  </si>
  <si>
    <t>ROT CO2 COCO GT INDIA 5ML</t>
  </si>
  <si>
    <t>ROT CO2 COENTRO SEMENTES CO2-SE GT POLONIA 5 ML</t>
  </si>
  <si>
    <t>ROT CO2 ESPINHEIRO MARITIMO CO2-SE 10ML</t>
  </si>
  <si>
    <t>ROT CO2 FENO GREGO (SEMENTES) SE GT INDIA 10 ML</t>
  </si>
  <si>
    <t>ROT CO2 GALBANO GT IRÃ CO2-SE 5ML</t>
  </si>
  <si>
    <t>ROT CO2 GENGIBRE CO2-SE GT INDIA 10 ML</t>
  </si>
  <si>
    <t>ROT CO2 GENGIBRE CO2-SE GT INDIA 5 ML</t>
  </si>
  <si>
    <t>ROT CO2 GENGIBRE CO2-TO GT ÍNDIA 5 ML</t>
  </si>
  <si>
    <t>ROT CO2 JASMIM DOS POETAS 10% CO2-SE FLORES 10 ML</t>
  </si>
  <si>
    <t>ROT CO2 JUNIPERO BAGAS CO2-SE GT FRANÇA 5 ML</t>
  </si>
  <si>
    <t>ROT CO2 JUNIPERO BAGAS CO2-SE GT INDIA 5ML</t>
  </si>
  <si>
    <t>ROT CO2 LIRIO DO BREJO GT INDIA CO2-SE 5ML</t>
  </si>
  <si>
    <t>ROT CO2 LIRIO DO BREJO SE 10 ML</t>
  </si>
  <si>
    <t>ROT CO2 LUPULO CO2 - TO FLORES 10 ML</t>
  </si>
  <si>
    <t>ROT CO2 MANJERICAO SANTO CO2-SE 10% GT INDIA 10 ML</t>
  </si>
  <si>
    <t>ROT CO2 MANJERICAO SANTO GT INDIA CO2-SE 5ML</t>
  </si>
  <si>
    <t>ROT CO2 MANTEIGA TO GT BELGICA 10 ML</t>
  </si>
  <si>
    <t>ROT CO2 MIRRA DA SOMALIA CO2 SE 10 ML</t>
  </si>
  <si>
    <t>ROT CO2 MIRRA GT ETIOPIA CO2-SE 5ML</t>
  </si>
  <si>
    <t>ROT CO2 MUSK (AMBRETO) GT INDIA CO2-TO 5ML</t>
  </si>
  <si>
    <t>ROT CO2 NARDO-VERDE CO2-SE GT ÍNDIA 5 ML</t>
  </si>
  <si>
    <t>ROT CO2 NIM (FOLHAS) CO2-SE GT ÍNDIA 5ML</t>
  </si>
  <si>
    <t xml:space="preserve">ROT CO2 NOZ MOSCADA CO2-SE GT ÍNDIA 10 ML </t>
  </si>
  <si>
    <t>ROT CO2 OLIBANO DA INDIA GT INDIA CO2-SE 5ML</t>
  </si>
  <si>
    <t>ROT CO2 OLIBANO SELVAGEM CO2-SE VAR FREREANA 5 ML</t>
  </si>
  <si>
    <t>ROT CO2 PATCHOULI GT ÍNDIA CO2-SE 5ML</t>
  </si>
  <si>
    <t>ROT CO2 PIMENTA MALAGUETA CO2 TO GT INDIA 10 ML</t>
  </si>
  <si>
    <t>ROT CO2 PIMENTA NEGRA TO GT INDIA 5 ML</t>
  </si>
  <si>
    <t>ROT CO2 SALSAPARRILHA 20% 10 ML</t>
  </si>
  <si>
    <t>ROT CO2 SALVIA TRILOBA TO GT TURQUIA 5ML</t>
  </si>
  <si>
    <t>ROT CO2 SANDALO MYSORE 10% CO2 - SE 10 ML</t>
  </si>
  <si>
    <t>ROT CO2 SANDALO MYSORE GT INDIA 5 ML</t>
  </si>
  <si>
    <t>ROT CO2 VALERIANA CO2-SE GT ÍNDIA 10 10ML</t>
  </si>
  <si>
    <t>ROT CO2 VALERIANA CO2-SE GT ÍNDIA 20% 10 ML</t>
  </si>
  <si>
    <t>ROT EXTRATO DE ALECRIM 10ML</t>
  </si>
  <si>
    <t>ROT EXTRATO DE ALECRIM-DO-CAMPO 10ML</t>
  </si>
  <si>
    <t>ROT EXTRATO DE CAPIM-LIMÃO 10ML</t>
  </si>
  <si>
    <t>ROT EXTRATO DE CIPRESTE-HINOKI 10ML</t>
  </si>
  <si>
    <t>ROT EXTRATO DE COPAIBA 10ML</t>
  </si>
  <si>
    <t>ROT EXTRATO DE ERVA-BALEEIRA 10ML</t>
  </si>
  <si>
    <t>ROT EXTRATO DE EUCALIPTO 10ML</t>
  </si>
  <si>
    <t>ROT EXTRATO DE FUNCHO-DOCE 10ML</t>
  </si>
  <si>
    <t>ROT EXTRATO DE GERANIO 10ML</t>
  </si>
  <si>
    <t>ROT EXTRATO DE HORTELÃ-PIMENTA 10ML</t>
  </si>
  <si>
    <t>ROT EXTRATO DE LARANJA-AMARGA 10ML</t>
  </si>
  <si>
    <t>ROT EXTRATO DE LAVANDA 10ML</t>
  </si>
  <si>
    <t>ROT EXTRATO DE LAVANDA-DENTATA 10ML</t>
  </si>
  <si>
    <t>ROT EXTRATO DE LIMÃO-SICILIANO 10ML</t>
  </si>
  <si>
    <t>ROT EXTRATO DE MANJERICÃO 10ML</t>
  </si>
  <si>
    <t>ROT EXTRATO DE MELALEUCA 10ML</t>
  </si>
  <si>
    <t>ROT EXTRATO DE ORÉGANO 10ML</t>
  </si>
  <si>
    <t>ROT EXTRATO DE PINHEIRO 10ML</t>
  </si>
  <si>
    <t>ROT EXTRATO DE SÁLVIA 10ML</t>
  </si>
  <si>
    <t>ROT GOTAS CHOCOLATE AO LEITE COM OMEGA 3 40% 130G</t>
  </si>
  <si>
    <t>ROT GOTAS CHOCOLATE BRANCO MOUSSE LIMÃO 42% 130G</t>
  </si>
  <si>
    <t>ROT GOTAS CHOCOLATE GOLDEN CHAI 41% 130G</t>
  </si>
  <si>
    <t>ROT GOTAS CHOCOLATE HORTELÃ FONTE ÔMEGA 3 60% 130G</t>
  </si>
  <si>
    <t>ROT GOTAS CHOCOLATE LAVANDA E AMÊNDOAS 50% 130G</t>
  </si>
  <si>
    <t>ROT GOTAS CHOCOLATE VEGANO CACAU 70% 130G</t>
  </si>
  <si>
    <t>ROT HIDROLATO DE ALECRIM 100ML</t>
  </si>
  <si>
    <t>ROTULO</t>
  </si>
  <si>
    <t>ROT HIDROLATO DE GERANIO 100ML</t>
  </si>
  <si>
    <t>ROT HIDROLATO DE TEA TREE 100ML</t>
  </si>
  <si>
    <t>ROT HIDROSSOL ALECRIM DO CAMPO</t>
  </si>
  <si>
    <t>ROT HIDROSSOL CAMOMILA ALEMA</t>
  </si>
  <si>
    <t>ROT HIDROSSOL CANELA DO CEILAO</t>
  </si>
  <si>
    <t>ROT HIDROSSOL CAPIM LIMAO</t>
  </si>
  <si>
    <t>ROT HIDROSSOL CARDAMOMO</t>
  </si>
  <si>
    <t xml:space="preserve">ROT HIDROSSOL CIPRESTE LUSITANICA </t>
  </si>
  <si>
    <t>ROT HIDROSSOL CITRONELA</t>
  </si>
  <si>
    <t>ROT HIDROSSOL COENTRO SEMENTES</t>
  </si>
  <si>
    <t>ROT HIDROSSOL COLONIA</t>
  </si>
  <si>
    <t>ROT HIDROSSOL CRAVO DA INDIA</t>
  </si>
  <si>
    <t>ROT HIDROSSOL ENDRO SEMENTES</t>
  </si>
  <si>
    <t>ROT HIDROSSOL ERVA BALEEIRA</t>
  </si>
  <si>
    <t>ROT HIDROSSOL ERVA DOCE</t>
  </si>
  <si>
    <t>ROT HIDROSSOL EUCALIPTO</t>
  </si>
  <si>
    <t>ROT HIDROSSOL FUNCHO DOCE</t>
  </si>
  <si>
    <t>ROT HIDROSSOL GENGIBRE</t>
  </si>
  <si>
    <t>ROT HIDROSSOL HORTELA BERGAMOTA</t>
  </si>
  <si>
    <t>ROT HIDROSSOL HORTELA PIMENTA</t>
  </si>
  <si>
    <t>ROT HIDROSSOL LAVANDA DENTATA</t>
  </si>
  <si>
    <t>ROT HIDROSSOL LAVANDA VERDADEIRA</t>
  </si>
  <si>
    <t>ROT HIDROSSOL LIRIO DO BREJO</t>
  </si>
  <si>
    <t>ROT HIDROSSOL LOURO FOLHAS</t>
  </si>
  <si>
    <t>ROT HIDROSSOL MACELA DO CAMPO</t>
  </si>
  <si>
    <t>ROT HIDROSSOL MANJERICAO</t>
  </si>
  <si>
    <t>ROT HIDROSSOL MELISSA</t>
  </si>
  <si>
    <t>ROT HIDROSSOL OREGANO</t>
  </si>
  <si>
    <t>ROT HIDROSSOL PALMAROSA</t>
  </si>
  <si>
    <t>ROT HIDROSSOL PATCHOULI</t>
  </si>
  <si>
    <t>ROT HIDROSSOL PESCOÇO</t>
  </si>
  <si>
    <t xml:space="preserve">ROT HIDROSSOL PESSEGO FOLHAS </t>
  </si>
  <si>
    <t>ROT HIDROSSOL PITANGA FOLHAS</t>
  </si>
  <si>
    <t>ROT HIDROSSOL TOMILHO</t>
  </si>
  <si>
    <t>ROT HIDROSSOL TUIA MAÇA</t>
  </si>
  <si>
    <t>ROT HIDROSSOL TURMERICO</t>
  </si>
  <si>
    <t>ROT HIDROSSOL VERBENA BRANCA</t>
  </si>
  <si>
    <t>ROT NOVA FORMULA VEGANO</t>
  </si>
  <si>
    <t>ROT OE ABETO BALSAMICO GT CANADA 10 ML</t>
  </si>
  <si>
    <t>ROT OE ABETO DA SIBERIA GT RUSSIA 10ML</t>
  </si>
  <si>
    <t>ROT OE ABETO DO CAUCASO GT EUA 5 ML</t>
  </si>
  <si>
    <t>ROT OE ABETO DOUGLAS GT CANADÁ 5 ML</t>
  </si>
  <si>
    <t>ROT OE ABETO FRASER 10,1ML</t>
  </si>
  <si>
    <t>ROT OE ABETO GIGANTE GT EUA 10,1 ML</t>
  </si>
  <si>
    <t>ROT OE ABETO NOBRE GT EUA 10,1ML</t>
  </si>
  <si>
    <t>ROT OE ABETO PRATA GT ASTRIA 10 ML</t>
  </si>
  <si>
    <t>ROT OE ABSINTO DM GT FRANÇA 10 ML</t>
  </si>
  <si>
    <t>ROT OE ABSINTO DM GT FRANÇA 5 ML</t>
  </si>
  <si>
    <t xml:space="preserve">ROT OE AIPO SEMENTES - GT ÍNDIA 10 ML </t>
  </si>
  <si>
    <t>ROT OE AJOWAN GT INDIA 10 ML</t>
  </si>
  <si>
    <t>ROT OE ALECRIM CANFORA GT ESPANHA 10 ML</t>
  </si>
  <si>
    <t>ROT OE ALECRIM CÂNFORA GT ESPANHA 50 ML</t>
  </si>
  <si>
    <t>ROT OE ALECRIM CERRADO QT NEROLIDOL 10 ML</t>
  </si>
  <si>
    <t>ROT OE ALECRIM CINEOL EXTRA GT MARROCOS 10 ML</t>
  </si>
  <si>
    <t>ROT OE ALECRIM CINEOL GT TUNISIA 50 ML</t>
  </si>
  <si>
    <t>ROT OE ALECRIM CINEOL TUNISIA 10 ML</t>
  </si>
  <si>
    <t>ROT OE ALECRIM DO CAMPO GT BRASIL 10 ML</t>
  </si>
  <si>
    <t>ROT OE ALECRIM PIMENTA GT BRASIL 10ML</t>
  </si>
  <si>
    <t>ROT OE ALECRIM QT CANFORA GT ESPANHA 50 ML</t>
  </si>
  <si>
    <t>ROT OE ALECRIM QT CINEOL GT BRASIL 10ML</t>
  </si>
  <si>
    <t>ROT OE ALECRIM QT CINEOL GT TUNISIA 50ML</t>
  </si>
  <si>
    <t>ROT OE ALECRIM QT MIRCENO GT BRASIL 5ML</t>
  </si>
  <si>
    <t>ROT OE ALECRIM QT VERBENONA (8/15%) GT MALAWI 5 ML</t>
  </si>
  <si>
    <t>ROT OE ALECRIM QT VERBENONA PREMIUM 10 ML</t>
  </si>
  <si>
    <t>ROT OE ALECRIM SELVAGEM 10 ML</t>
  </si>
  <si>
    <t>ROT OE ALECRIM SELVAGEM 5 ML</t>
  </si>
  <si>
    <t xml:space="preserve">ROT OE ALECRIM-DO-CAMPO GT BRASIL 5 ML </t>
  </si>
  <si>
    <t>ROT OE ALECRIM-DO-CERRADO GT BRASIL 5 ML</t>
  </si>
  <si>
    <t>ROT OE ALFAVACA CRAVO GT BRASIL 10 ML</t>
  </si>
  <si>
    <t>ROT OE AMAZONGRASS GT BRASIL 5ML</t>
  </si>
  <si>
    <t>ROT OE AMENDOAS AMARGAS GT EUA 10 ML</t>
  </si>
  <si>
    <t>ROT OE ANGELICA (RAIZES) GT CHINA 5 ML</t>
  </si>
  <si>
    <t>ROT OE ANGELICA RAIZES GT INGLATERRA 5ML</t>
  </si>
  <si>
    <t>ROT OE ANGELICA SEMENTES GT INGLATERRA 5ML</t>
  </si>
  <si>
    <t>ROT OE ANIS ESTRELADO GT CHINA 10 ML</t>
  </si>
  <si>
    <t>ROT OE ANIS ESTRELADO GT CHINA 50 ML</t>
  </si>
  <si>
    <t>ROT OE ARAÇA-ROSA (FOLHAS) GT BRASIL 5ML</t>
  </si>
  <si>
    <t>ROT OE ARAÇA-VERMELHO (FOLHAS) GT BRASIL 5ML</t>
  </si>
  <si>
    <t>ROT OE ARBORVITAE GT EUA 10ML</t>
  </si>
  <si>
    <t>ROT OE ARBUSTO-MENTA GT AUSTRALIA 10ML</t>
  </si>
  <si>
    <t>ROT OE ARINA (YARI) GT MADAGASCAR 5 ML</t>
  </si>
  <si>
    <t>ROT OE ARNICA SILVESTRE GT CANADÁ 5ML</t>
  </si>
  <si>
    <t>ROT OE AROEIRA FOLHAS GT BRASIL 5 ML</t>
  </si>
  <si>
    <t>ROT OE ARRUDA 10% GT ESPANHA 10ML</t>
  </si>
  <si>
    <t xml:space="preserve">ROT OE ARRUDA GT ESPANHA 5 ML </t>
  </si>
  <si>
    <t>ROT OE ARTEMISIA BRANCA GT MARROCOS 10ML</t>
  </si>
  <si>
    <t>ROT OE ARTEMISIA DO NEPAL GT NEPAL 10 ML</t>
  </si>
  <si>
    <t>ROT OE ARTEMISIA MOXA GT MARROCOS 10ML</t>
  </si>
  <si>
    <t>ROT OE ARTEMISIA PESSEGO GT BRASIL 5ML</t>
  </si>
  <si>
    <t>ROT OE ASSA-PEIXE GT BRASIL 5 ML</t>
  </si>
  <si>
    <t>ROT OE AZALEIA GIGANTE GT NEPAL 10 ML</t>
  </si>
  <si>
    <t>ROT OE AZALEIA GIGANTE GT NEPAL 5 ML</t>
  </si>
  <si>
    <t>ROT OE BALSAMO DE TOLU GT SALVADOR 10 ML</t>
  </si>
  <si>
    <t>ROT OE BALSAMO DO PERU GT PERU 10 ML</t>
  </si>
  <si>
    <t>ROT OE BALSAMO DO PERU GT PERU 5 ML</t>
  </si>
  <si>
    <t>ROT OE BAY RUM GT INDIA 5 ML</t>
  </si>
  <si>
    <t>ROT OE BAY RUM GT JAMAICA 5 ML</t>
  </si>
  <si>
    <t>ROT OE BERGAMOTA GT BRASIL 10 ML</t>
  </si>
  <si>
    <t>ROT OE BERGAMOTA GT BRASIL 50 ML</t>
  </si>
  <si>
    <t>ROT OE BERGAMOTA GT COSTA DO MARFIM 10ML</t>
  </si>
  <si>
    <t>ROT OE BERGAMOTA GT ITALIA 10ML</t>
  </si>
  <si>
    <t>ROT OE BERGAMOTA LFC GT CHINA 10 ML</t>
  </si>
  <si>
    <t>ROT OE BETULA (DEFUMADA) GT RUSSIA 5 ML</t>
  </si>
  <si>
    <t>ROT OE BETULA DOCE GT EUA 10ML</t>
  </si>
  <si>
    <t>ROT OE BREU BRANCO GT BRASIL 10ML</t>
  </si>
  <si>
    <t>ROT OE BREU BRANCO GT BRASIL 5 ML</t>
  </si>
  <si>
    <t>ROT OE BREU-PRETO (BAHIA) GT BRASIL 5 ML</t>
  </si>
  <si>
    <t>ROT OE BUDDHA WOOD GT AUSTRALIA 5 ML</t>
  </si>
  <si>
    <t>ROT OE CABREUVA (PAU DE INCENSO) GT BRASIL 10ML</t>
  </si>
  <si>
    <t>ROT OE CAFÉ TORRADO GT BRASIL 10ML</t>
  </si>
  <si>
    <t>ROT OE CAFÉ VERDE GT BRASIL 10ML</t>
  </si>
  <si>
    <t>ROT OE CAJEPUTE QT CINEOL GT AUSTRALIA 10 ML</t>
  </si>
  <si>
    <t>ROT OE CALAMO GT INDIA 10ML</t>
  </si>
  <si>
    <t>ROT OE CAMARA (LANTANA) GT MADAGASCAR 5ML</t>
  </si>
  <si>
    <t>ROT OE CAMOMILA AZUL GT BRASIL 5ML</t>
  </si>
  <si>
    <t>ROT OE CAMOMILA DO MARROCOS 5 ML</t>
  </si>
  <si>
    <t>ROT OE CAMOMILA ROMANA 10% GT EUA 10ML</t>
  </si>
  <si>
    <t>ROT OE CAMOMILA ROMANA GT EUA 5ML</t>
  </si>
  <si>
    <t>ROT OE CAMOMILA-AZUL 10% GT BRASIL 10ML</t>
  </si>
  <si>
    <t>ROT OE CAMOMILA-ROMANA GT INGLATERRA 10% 10ML</t>
  </si>
  <si>
    <t>ROT OE CAMOMILA-ROMANA GT INGLATERRA 5ML</t>
  </si>
  <si>
    <t>ROT OE CANANGA DO JAPÃO GT INDIA 5ML</t>
  </si>
  <si>
    <t>ROT OE CANDEIA EXTRA 10ML</t>
  </si>
  <si>
    <t>ROT OE CANDEIA GT BRASIL 10ML</t>
  </si>
  <si>
    <t>ROT OE CANELA DA CHINA (CASCAS) GT CHINA 10ML</t>
  </si>
  <si>
    <t>ROT OE CANELA DO CEILAO (CASCAS) SRI LANKA 10ML</t>
  </si>
  <si>
    <t>ROT OE CANELA DO CEILAO CASCAS GT SRLANKA 5 ML</t>
  </si>
  <si>
    <t>ROT OE CANELA DO CEILAO GT MADAGASCAR 10ML</t>
  </si>
  <si>
    <t>ROT OE CANELA DO HIMALAIA GT INDIA 5 ML</t>
  </si>
  <si>
    <t>ROT OE CANELA DO NEPAL GT NEPAL 10ML</t>
  </si>
  <si>
    <t>ROT OE CANELA FOLHAS CEILAO QT EUGENOL 10 ML</t>
  </si>
  <si>
    <t>ROT OE CANELA-DO-NEPAL GT NEPAL 5 ML</t>
  </si>
  <si>
    <t>ROT OE CANFORA BRANCA GT CHINA 10ML</t>
  </si>
  <si>
    <t>ROT OE CAPE MAY "DIOSMA-BRANCA" GT AFRICA 5ML</t>
  </si>
  <si>
    <t>ROT OE CAPIÇOBA GT BRASIL 5 ML</t>
  </si>
  <si>
    <t>ROT OE CAPIM CAMELO GT INDIA 10ML</t>
  </si>
  <si>
    <t>ROT OE CAPIM LIMAO 10ML (MIÓ)</t>
  </si>
  <si>
    <t>ROT OE CAPIM LIMAO GT BRASIL 10ML</t>
  </si>
  <si>
    <t>ROT OE CAPIM LIMÃO GT BRASIL 50 ML</t>
  </si>
  <si>
    <t>ROT OE CAPIM-CIDREIRA GT BRASIL 10 ML</t>
  </si>
  <si>
    <t>ROT OE CAPIM-CIDREIRA HD GT HAITI 10ML</t>
  </si>
  <si>
    <t>ROT OE CAPIM-GENGIBRE GT INDIA 10ML</t>
  </si>
  <si>
    <t>ROT OE CAPIM-LIMAO VAR. FLEXUOSUS GT BRASIL 50ML</t>
  </si>
  <si>
    <t>ROT OE CARDAMOMO GT INDIA 10ML</t>
  </si>
  <si>
    <t>ROT OE CARDAMOMO GT INDIA 5 ML</t>
  </si>
  <si>
    <t>ROT OE CARDAMOMO HIDRODIFUSO GT GUATEMALA 10ML</t>
  </si>
  <si>
    <t>ROT OE CARQUEJA AMARGA GT BRASIL 5 ML</t>
  </si>
  <si>
    <t>ROT OE CATAIA (CRAVO DO CAMPO) CHÁ-DE-BUGRE 10ML</t>
  </si>
  <si>
    <t>ROT OE CATAIA GT BRASIL 5 ML</t>
  </si>
  <si>
    <t>ROT OE CEDRO BRANCO 10,1ML</t>
  </si>
  <si>
    <t>ROT OE CEDRO CANJERANA 5 ML</t>
  </si>
  <si>
    <t>ROT OE CEDRO DA VIRGINIA GT EUA 10ML</t>
  </si>
  <si>
    <t>ROT OE CEDRO DO ATLAS 50ML</t>
  </si>
  <si>
    <t>ROT OE CEDRO DO ATLAS GT MARROCOS 10ML</t>
  </si>
  <si>
    <t>ROT OE CEDRO DO HIMALAIA 50 ML</t>
  </si>
  <si>
    <t>ROT OE CEDRO DO HIMALAIA GT INDIA 10ML</t>
  </si>
  <si>
    <t>ROT OE CEDRO DO TEXAS - MADEIRA GT EUA 10 ML</t>
  </si>
  <si>
    <t>ROT OE CEDRO DO TEXAS GT BRASIL 50 ML</t>
  </si>
  <si>
    <t>ROT OE CEDRO VERMELHO GT CANADA 10 ML</t>
  </si>
  <si>
    <t>ROT OE CEDRO-DA-CHINA GT CHINA 10ML</t>
  </si>
  <si>
    <t>ROT OE CEDRO-JAPONÊS GT JAPÃO 10ML</t>
  </si>
  <si>
    <t>ROT OE CENOURA SEMENTES GT INDIA 5ML</t>
  </si>
  <si>
    <t>ROT OE CIDRA GT BRASIL 10ML</t>
  </si>
  <si>
    <t>ROT OE CIPO MIL HOMENS 5ML</t>
  </si>
  <si>
    <t>ROT OE CIPO-MIL-HOMENS GT BRASIL 10ML</t>
  </si>
  <si>
    <t>ROT OE CIPRESTE AZUL GT AUSTRALIA 5 ML</t>
  </si>
  <si>
    <t>ROT OE CIPRESTE AZUL MADEIRA 10 ML</t>
  </si>
  <si>
    <t>ROT OE CIPRESTE EUROPEU GT ESPANHA 10 ML</t>
  </si>
  <si>
    <t>ROT OE CIPRESTE EUROPEU GT FRANÇA 10 ML</t>
  </si>
  <si>
    <t>ROT OE CIPRESTE LUSITANICO GT BRASIL 10ML</t>
  </si>
  <si>
    <t>ROT OE CIPRESTE-DO-HIMALAIA MADEIRA GT NEPAL 10ML</t>
  </si>
  <si>
    <t>ROT OE CISTO LADANO GT ESPANHA 10 ML</t>
  </si>
  <si>
    <t>ROT OE CITRONELA DE JAVA GT BRASIL 10 ML</t>
  </si>
  <si>
    <t>ROT OE CITRONELA DO CEILAO GT BRASIL 10 ML</t>
  </si>
  <si>
    <t>ROT OE CITRONELA VAR. JAVA GT BRASIL 50 ML</t>
  </si>
  <si>
    <t>ROT OE CLEMENTINA GT BRASIL 10ML</t>
  </si>
  <si>
    <t>ROT OE COENTRO (FOLHAS) GT EUA 5 ML</t>
  </si>
  <si>
    <t>ROT OE COENTRO SEMENTES GT FRANÇA 5ML</t>
  </si>
  <si>
    <t>ROT OE COLÔNIA (AÇUCENA) GT BRASIL 5 ML</t>
  </si>
  <si>
    <t xml:space="preserve">ROT OE COLONIA (ALPINIA) QT LINALOL GT BRASIL 5ML </t>
  </si>
  <si>
    <t>ROT OE COLÔNIA DE JAVA GT INDONÉSIA 10ML</t>
  </si>
  <si>
    <t>ROT OE COMINHO (SEMENTES) GT INDIA 10ML</t>
  </si>
  <si>
    <t>ROT OE COMINHO SEMENTES GT EGITO 10ML</t>
  </si>
  <si>
    <t>ROT OE CONHAQUE VERDE GT FRANÇA 5 ML</t>
  </si>
  <si>
    <t>ROT OE COPAIBA BRANCA GT BRASIL 10 ML</t>
  </si>
  <si>
    <t>ROT OE COPAIBA BRANCA GT BRASIL 50 ML</t>
  </si>
  <si>
    <t>ROT OE COPAIBA DEFUMADA GT BRASIL 10ML</t>
  </si>
  <si>
    <t>ROT OE CRAVO DA INDIA (BOTOES) GT BRASIL 10ML</t>
  </si>
  <si>
    <t>ROT OE CRAVO DA INDIA (FOLHAS) GT INDONESIA 10ML</t>
  </si>
  <si>
    <t>ROT OE CRAVO DA INDIA (FOLHAS) GT INDONESIA 50 ML</t>
  </si>
  <si>
    <t>ROT OE CRAVO-DA-ÍNDIA (BOTÕES) GT BRASIL 5 ML</t>
  </si>
  <si>
    <t>ROT OE CROTON 10 ML</t>
  </si>
  <si>
    <t>ROT OE CROTON-COTONEASTER GT MADAGASCAR 5ML</t>
  </si>
  <si>
    <t>ROT OE CROTON-GEAYI GT MADAGASCAR 5ML</t>
  </si>
  <si>
    <t>ROT OE CUBEBA GT INDONESIA 10ML</t>
  </si>
  <si>
    <t>ROT OE CUBEBA GT INDONESIA 5 ML</t>
  </si>
  <si>
    <t>ROT OE CURRY FOLHAS GT INDIA 5ML</t>
  </si>
  <si>
    <t>ROT OE DAMIANA 10% GT MEXICO 10 ML</t>
  </si>
  <si>
    <t>ROT OE DAVANA GT INDIA 10 ML</t>
  </si>
  <si>
    <t>ROT OE ELEMI GT FILIPINAS 10ML</t>
  </si>
  <si>
    <t>ROT OE ENDRO (ERVA) GT EUA 10ML</t>
  </si>
  <si>
    <t>ROT OE ENDRO (FOLHAS) GT EUA 10 ML</t>
  </si>
  <si>
    <t>ROT OE ENDRO SEMENTES GT INDIA 10ML</t>
  </si>
  <si>
    <t>ROT OE ERIGERON GT EUA 10ML</t>
  </si>
  <si>
    <t>ROT OE ERVA BALEEIRA GT BRASIL 5ML</t>
  </si>
  <si>
    <t>ROT OE ERVA DA GRAÇA "ALFAZEMA-DO-BRASIL" 5ML</t>
  </si>
  <si>
    <t>ROT OE ERVA DOCE SEMENTES GT EGITO 10 ML</t>
  </si>
  <si>
    <t>ROT OE ERVA DOS GATOS 10% GT BRASIL 10ML</t>
  </si>
  <si>
    <t>ROT OE ERVA-DOCE (SEMENTES) GT EGITO 5 ML</t>
  </si>
  <si>
    <t>ROT OE ESPRUCE BRANCO GT CANADÁ 10ML</t>
  </si>
  <si>
    <t>ROT OE ESPRUCE CANADENSE GT CANADA 10ML</t>
  </si>
  <si>
    <t>ROT OE ESPRUCE NEGRO GT CANADA 10 ML</t>
  </si>
  <si>
    <t>ROT OE ESTRAGÃO GT EUA 5 ML</t>
  </si>
  <si>
    <t>ROT OE EUCALIPTO 10ML (MIÓ)</t>
  </si>
  <si>
    <t>ROT OE EUCALIPTO CIDREIRA GT BRASIL 10ML</t>
  </si>
  <si>
    <t>ROT OE EUCALIPTO CITRIODORA GT BRASIL 10ML</t>
  </si>
  <si>
    <t>ROT OE EUCALIPTO CITRIODORA GT BRASIL 50 ML</t>
  </si>
  <si>
    <t>ROT OE EUCALIPTO DUNNI GT BRASIL 5ML</t>
  </si>
  <si>
    <t>ROT OE EUCALIPTO GLOBULUS 75/80% GT BRASIL 10ML</t>
  </si>
  <si>
    <t>ROT OE EUCALIPTO GLOBULUS 85/90% GT BRASIL 10ML</t>
  </si>
  <si>
    <t>ROT OE EUCALIPTO GLOBULUS GT BRASIL 50 ML</t>
  </si>
  <si>
    <t>ROT OE EUCALIPTO HORTELA GT AFRICA DO SUL 10ML</t>
  </si>
  <si>
    <t>ROT OE EUCALIPTO RADIATA GT AUSTRALIA 10 ML</t>
  </si>
  <si>
    <t>ROT OE EUCALIPTO ROBUSTA GT BRASIL 10ML</t>
  </si>
  <si>
    <t>ROT OE EUCALIPTO ROSA GT BRASIL 10ML</t>
  </si>
  <si>
    <t>ROT OE EUCALIPTO-VIMINALIS GT BRASIL 10 ML</t>
  </si>
  <si>
    <t>ROT OE FAMONTY GT MADAGASCAR 5ML</t>
  </si>
  <si>
    <t>ROT OE FLOR DAS ALMAS GT BRASIL 10ML</t>
  </si>
  <si>
    <t>ROT OE FLOR DAS ALMAS GT BRASIL 5 ML</t>
  </si>
  <si>
    <t>ROT OE FRAGONIA GT AUSTRALIA 5ML</t>
  </si>
  <si>
    <t>ROT OE FUNCHO DOCE (ERVA) GT BRASIL 10 ML</t>
  </si>
  <si>
    <t>ROT OE FUNCHO DOCE SEMENTES GT ESPANHA 10 ML</t>
  </si>
  <si>
    <t>ROT OE FUNCHO-AMARGO GT BULGÁRIA 10 ML</t>
  </si>
  <si>
    <t>ROT OE FUNCHO-DOCE PLANTA GT BRASIL 5ML</t>
  </si>
  <si>
    <t>ROT OE GALBANO GT IRÃ 5ML</t>
  </si>
  <si>
    <t>ROT OE GATARIA ERVA DOS GATOS 10% GT CANADA 10 ML</t>
  </si>
  <si>
    <t>ROT OE GENGIBRE GT CHINA 10ML</t>
  </si>
  <si>
    <t>ROT OE GENGIBRE HIDRO-DIFUSO GT SRI LANKA 10ML</t>
  </si>
  <si>
    <t>ROT OE GERÂNIO (EGIPCIO) GT EGITO 10ML</t>
  </si>
  <si>
    <t>ROT OE GERANIO BOURBON 10 ML</t>
  </si>
  <si>
    <t>ROT OE GERANIO CHINES GT CHINA 10ML</t>
  </si>
  <si>
    <t>ROT OE GERANIO GT AFRICA DO SUL 10 ML</t>
  </si>
  <si>
    <t>ROT OE GERÂNIO QT GERANIOL GT BRASIL 10 ML</t>
  </si>
  <si>
    <t>ROT OE GERANIO ROSA (BRASILEIRO) GT BRASIL 5 ML</t>
  </si>
  <si>
    <t>ROT OE GERANIO ZDRAVETZ GT BULGARIA 5 ML</t>
  </si>
  <si>
    <t>ROT OE GERÂNIO-ROSA (EGIPCIO) GT EGITO 5ML</t>
  </si>
  <si>
    <t>ROT OE GERANIO-ROSA (INDIANO) GT INDIA 10ML</t>
  </si>
  <si>
    <t>ROT OE GERANIO-ROSA (INDIANO) GT INDIA 5 ML</t>
  </si>
  <si>
    <t>ROT OE GOIABA FOLHAS GT BRASIL 5 ML</t>
  </si>
  <si>
    <t>ROT OE GRÃO-DO-PARAÍSO GT MADAGASCAR 5ML</t>
  </si>
  <si>
    <t>ROT OE GRAPEFRUIT (LFC) GT BRASIL 10ML</t>
  </si>
  <si>
    <t>ROT OE GRAPEFRUIT BRANCO GT BRASIL 10 ML</t>
  </si>
  <si>
    <t>ROT OE GRAPEFRUIT ROSA GT BRASIL 10ML</t>
  </si>
  <si>
    <t>ROT OE GRAPEFRUIT T LESS GT BRASIL 5 ML</t>
  </si>
  <si>
    <t>ROT OE GREENHEART "CORAÇÃO VERDE" GT QUÊNIA 5ML</t>
  </si>
  <si>
    <t>ROT OE GUAVIROBA FOLHAS (GABIROBA) GT BRASIL 5 ML</t>
  </si>
  <si>
    <t>ROT OE GURJAN QT COPAENO GT INDIA 5ML</t>
  </si>
  <si>
    <t>ROT OE HINOKI DE TAIWAN GT TALWAN 10ML</t>
  </si>
  <si>
    <t>ROT OE HINOKI OURO ( MADEIRA) GT JAPAO 10 ML</t>
  </si>
  <si>
    <t>ROT OE HINOKI OURO (FOLHAS) GT BRASIL 10ML</t>
  </si>
  <si>
    <t>ROT OE HINOKI PRATA (FOLHAS) GT BRASIL 10ML</t>
  </si>
  <si>
    <t>ROT OE HINOKI PRATA (MADEIRA) GT EUA 10ML</t>
  </si>
  <si>
    <t>ROT OE HIPERICO 10% FLORES GT CANADÁ 10ML</t>
  </si>
  <si>
    <t>ROT OE HISSOPO DECUMBES GT ESPANHA 5ML</t>
  </si>
  <si>
    <t>ROT OE HISSOPO GT BULGARIA 5 ML</t>
  </si>
  <si>
    <t>ROT OE HISSOPO GT EUA 5 ML</t>
  </si>
  <si>
    <t>ROT OE HO WOOD GT CHINA 10 ML</t>
  </si>
  <si>
    <t>ROT OE HORTELA BERGAMOTA GT BRASIL 10 ML</t>
  </si>
  <si>
    <t>ROT OE HORTELÃ BRANCA GT EUA 10ML</t>
  </si>
  <si>
    <t>ROT OE HORTELÃ DA ESCOCIA GT EUA 10 ML</t>
  </si>
  <si>
    <t>ROT OE HORTELA DO CAMPO GT BRASIL 10ML</t>
  </si>
  <si>
    <t>ROT OE HORTELA DO CAMPO GT EUA 10ML</t>
  </si>
  <si>
    <t>ROT OE HORTELÃ DO CAMPO GT EUA 50 ML</t>
  </si>
  <si>
    <t>ROT OE HORTELÃ PIMENTA (EXTRA) GT EUA 10 ML</t>
  </si>
  <si>
    <t>ROT OE HORTELA PIMENTA 10ML (MIÓ)</t>
  </si>
  <si>
    <t>ROT OE HORTELA PIMENTA 50 ML</t>
  </si>
  <si>
    <t>ROT OE HORTELA PIMENTA GT ÍNDIA 10ML</t>
  </si>
  <si>
    <t>ROT OE HORTELA VERDE GT INDIA 10ML</t>
  </si>
  <si>
    <t>ROT OE HORTELA-D´AGUA GT EUA 5 ML</t>
  </si>
  <si>
    <t>ROT OE HORTELÃ-VERDE GT CHINA 10 ML</t>
  </si>
  <si>
    <t>ROT OE IMBUIA GT BRASIL 5ML</t>
  </si>
  <si>
    <t>ROT OE JOÃO RUSSO GT BRASIL 5ML</t>
  </si>
  <si>
    <t>ROT OE JUNIPERO (BAGAS) GT FRANÇA 10ML</t>
  </si>
  <si>
    <t>ROT OE JUNIPERO (BAGAS) GT FRANÇA 5ML</t>
  </si>
  <si>
    <t>ROT OE JUNIPERO (BAGAS) GT INDIA 5 ML</t>
  </si>
  <si>
    <t>ROT OE JUNIPERO BAGAS E GALHOS GT SERVIA 10 ML</t>
  </si>
  <si>
    <t>ROT OE JUNIPERO DA CHINA (FOLHAS) GT BRASIL 10 ML</t>
  </si>
  <si>
    <t>ROT OE JUNIPERO FENICIO GT PORTUGAL 5 ML</t>
  </si>
  <si>
    <t>ROT OE JUREMA BRANCA GT BRASIL 10 ML</t>
  </si>
  <si>
    <t>ROT OE KANUKA GT NOVA ZELANDIA 5 ML</t>
  </si>
  <si>
    <t>ROT OE KATRAFAY GT MADAGASCAR 10 ML</t>
  </si>
  <si>
    <t>ROT OE KEWRA 10% 10,1ML</t>
  </si>
  <si>
    <t>ROT OE KHELLA GT MARROCOS 5ML</t>
  </si>
  <si>
    <t>ROT OE KINKAN GT BRASIL 10ML</t>
  </si>
  <si>
    <t>ROT OE KUNZEA BRANCA GT AUSTRALIA 5ML</t>
  </si>
  <si>
    <t>ROT OE LANYANA GT AFRICA DO SUL 5 ML</t>
  </si>
  <si>
    <t>ROT OE LARANJA 10ML (MIÓ)</t>
  </si>
  <si>
    <t>ROT OE LARANJA DA TERRA GT BRASIL 10ML</t>
  </si>
  <si>
    <t>ROT OE LARANJA DOCE LFC 10 ML</t>
  </si>
  <si>
    <t>ROT OE LARANJA DOCE LIMA GT BRASIL 10ML</t>
  </si>
  <si>
    <t>ROT OE LARANJA DOCE PERA GT BRASIL 10ML</t>
  </si>
  <si>
    <t>ROT OE LARANJA DOCE VALENCIA GT BRASIL 10ML</t>
  </si>
  <si>
    <t>ROT OE LARANJA ESSENCIA (LFC) GT BRASIL 10ML</t>
  </si>
  <si>
    <t>ROT OE LARANJA PERA (LFC) GT BRASIL 10ML</t>
  </si>
  <si>
    <t>ROT OE LARANJA PERA DOCE GT BRASIL 50 ML</t>
  </si>
  <si>
    <t>ROT OE LARANJA SANGUINEA GT BRASIL 10ML</t>
  </si>
  <si>
    <t>ROT OE LARANJA SELVAGEM GT REP. DOMINICANA 10 ML</t>
  </si>
  <si>
    <t>ROT OE LARANJA-DOCE 5X GT BRASIL 10 ML</t>
  </si>
  <si>
    <t>ROT OE LARANJA-DOCE 5X GT BRASIL 5 ML</t>
  </si>
  <si>
    <t>ROT OE LARANJA-DOCE T LESS GT BRASIL 10ML</t>
  </si>
  <si>
    <t>ROT OE LARÍCIO GT CANADÁ 5 ML</t>
  </si>
  <si>
    <t>ROT OE LARIX TAMARACK GT CANADA 10,1ML</t>
  </si>
  <si>
    <t>ROT OE LAVANDA 'FOLGATE' GT INGLATERRA 10ML</t>
  </si>
  <si>
    <t>ROT OE LAVANDA 'HIDCOTE' GT HUNGRIA 5ML</t>
  </si>
  <si>
    <t>ROT OE LAVANDA 'MAILLETTE' GT INGLATERRA 10ML</t>
  </si>
  <si>
    <t>ROT OE LAVANDA 'MUNSTEAD' GT HUNGRIA 5ML</t>
  </si>
  <si>
    <t>ROT OE LAVANDA 'SELEÇÃO HÚNGARA' GT HUNGRIA 5ML</t>
  </si>
  <si>
    <t>ROT OE LAVANDA 10 ML (MIÓ)</t>
  </si>
  <si>
    <t>ROT OE LAVANDA ARCA GT PORTUGAL 5 ML</t>
  </si>
  <si>
    <t>ROT OE LAVANDA BUENA VISTA GT EUA 10ML</t>
  </si>
  <si>
    <t>ROT OE LAVANDA BUENA VISTA GT EUA 5 ML</t>
  </si>
  <si>
    <t>ROT OE LAVANDA DA RUSSIA 10,1 ML</t>
  </si>
  <si>
    <t>ROT OE LAVANDA DENTATA GT BRASIL 10ML</t>
  </si>
  <si>
    <t>ROT OE LAVANDA FINA FRANCESA GT FRANÇA 10ML</t>
  </si>
  <si>
    <t>ROT OE LAVANDA FINA GT BULGARIA 10 ML</t>
  </si>
  <si>
    <t>ROT OE LAVANDA FINA INGLESSA GT INGLESA 10ML</t>
  </si>
  <si>
    <t>ROT OE LAVANDA HUNGARA 10,1ML</t>
  </si>
  <si>
    <t>ROT OE LAVANDA LADY BIRD GT INGLATERRA 5ML</t>
  </si>
  <si>
    <t>ROT OE LAVANDA LUISIERI GT PORTUGAL 5ML</t>
  </si>
  <si>
    <t>ROT OE LAVANDA MAILLETTE GT HUNGRIA 5 ML</t>
  </si>
  <si>
    <t>ROT OE LAVANDA SPIKE GT ESPANHA 10ML</t>
  </si>
  <si>
    <t>ROT OE LAVANDA-BRANCA GT PORTUGAL 5ML</t>
  </si>
  <si>
    <t>ROT OE LAVANDA-FINA (INGLESA) GT INGLATERRA 10ML</t>
  </si>
  <si>
    <t>ROT OE LAVANDA-FINA BULGARA GT BULGARIA 50 ML</t>
  </si>
  <si>
    <t>ROT OE LAVANDA-FINA INGLESA GT INGLATERRA 50 ML</t>
  </si>
  <si>
    <t>ROT OE LAVANDIM 'JUDIT' GT HUNGRIA 5ML</t>
  </si>
  <si>
    <t>ROT OE LAVANDIM 'PROVENCE' GT HUNGRIA 5ML</t>
  </si>
  <si>
    <t>ROT OE LAVANDIM 'TYPE H' GT HUNGRIA 5ML</t>
  </si>
  <si>
    <t>ROT OE LAVANDIM ABRIALIS GT FRANÇA 10ML</t>
  </si>
  <si>
    <t>ROT OE LAVANDIM GROSSO GT FRANÇA 10ML</t>
  </si>
  <si>
    <t>ROT OE LAVANDIM GROSSO GT INGLATERRA 50 ML</t>
  </si>
  <si>
    <t>ROT OE LEDUM CHA-DA-GROENLANDIA 10% 10ML</t>
  </si>
  <si>
    <t>ROT OE LEDUM CHA-DA-GROENLANDIA 5ML</t>
  </si>
  <si>
    <t>ROT OE LELESHWA GT KENIA 10,1ML</t>
  </si>
  <si>
    <t>ROT OE LELESHWA GT QUENIA 5ML</t>
  </si>
  <si>
    <t>ROT OE LIMA DO TAITI (LFC) GT BRASIL 10ML</t>
  </si>
  <si>
    <t>ROT OE LIMA MEXICANA DESTILADA GT MEXICO 10 ML</t>
  </si>
  <si>
    <t>ROT OE LIMA TAHITI GT BRASIL 10ML</t>
  </si>
  <si>
    <t xml:space="preserve">ROT OE LIMA-DA-PÉRSIA / LIMA-DOCE GT BRASIL 10ML </t>
  </si>
  <si>
    <t>ROT OE LIMAO CAPETA GT BRASIL 10 ML</t>
  </si>
  <si>
    <t>ROT OE LIMAO CAPETA GT BRASIL 5ML</t>
  </si>
  <si>
    <t>ROT OE LIMAO ESSENCIA (LFC) GT BRASIL 10ML</t>
  </si>
  <si>
    <t>ROT OE LIMAO SICILIANO "MADURO" GT BRASIL 10 ML</t>
  </si>
  <si>
    <t>ROT OE LIMÃO SICILIANO 5X GT BRASIL 10ML</t>
  </si>
  <si>
    <t>ROT OE LIMÃO SICILIANO ESSENCIA 10ML</t>
  </si>
  <si>
    <t>ROT OE LIMÃO SICILIANO GT BRASIL 50 ML</t>
  </si>
  <si>
    <t>ROT OE LIMAO SICILIANO LFC 10 ML</t>
  </si>
  <si>
    <t>ROT OE LIMAO SICILIANO VERDE GT BRASIL 10ML</t>
  </si>
  <si>
    <t>ROT OE LIMÃO-SICILIANO 5X GT BRASIL 5 ML</t>
  </si>
  <si>
    <t>ROT OE LIMÃO-SICILIANO T LESS GT BRASIL 10ML</t>
  </si>
  <si>
    <t>ROT OE LIRIO DO BREJO GT BRASIL 5ML</t>
  </si>
  <si>
    <t>ROT OE LOURO GT TURQUIA 10ML</t>
  </si>
  <si>
    <t>ROT OE LUPULO GT CANADÁ 5 ML</t>
  </si>
  <si>
    <t>ROT OE MACACAPORANGA GT BRASIL 5ML</t>
  </si>
  <si>
    <t>ROT OE MACELA DO CAMPO 10% GT BRASIL 10ML</t>
  </si>
  <si>
    <t>ROT OE MACIS GT INDIA 5ML</t>
  </si>
  <si>
    <t>ROT OE MAGNOLIA BRANCA GT CHINA 5 ML</t>
  </si>
  <si>
    <t>ROT OE MANAVAO GT MADAGASCAR 5ML</t>
  </si>
  <si>
    <t>ROT OE MANDARINA AMARELA GT BRASIL 10ML</t>
  </si>
  <si>
    <t>ROT OE MANDARINA ESSENCIA (LFC) GT BRASIL 10ML</t>
  </si>
  <si>
    <t>ROT OE MANDARINA LFC GT BRASIL 10ML</t>
  </si>
  <si>
    <t>ROT OE MANDARINA VERDE GT BRASIL 10ML</t>
  </si>
  <si>
    <t>ROT OE MANDARINA VERMELHA GT BRASIL 10ML</t>
  </si>
  <si>
    <t>ROT OE MANDARINA-VERMELHA LFC GT BRASIL 10 ML</t>
  </si>
  <si>
    <t>ROT OE MANJERICAO ANIS GT BRASIL 10ML</t>
  </si>
  <si>
    <t>ROT OE MANJERICAO DOCE GT BRASIL 10ML</t>
  </si>
  <si>
    <t>ROT OE MANJERICAO EXOTICO GT EUA 10ML</t>
  </si>
  <si>
    <t>ROT OE MANJERICÃO LIMÃO GT EUA 5 ML</t>
  </si>
  <si>
    <t>ROT OE MANJERICAO SANTO GT INDIA 10ML</t>
  </si>
  <si>
    <t>ROT OE MANJERICAO-DOCE GT BRASIL 5ML</t>
  </si>
  <si>
    <t>ROT OE MANJERICAO-DOCE QT LINALOL GT BR 5 ML</t>
  </si>
  <si>
    <t>ROT OE MANJERICAO-EXOTICO QT ESTRAGOL GT EUA 5 ML</t>
  </si>
  <si>
    <t>ROT OE MANJERONA SILVESTRE GT ESPANHA 10ML</t>
  </si>
  <si>
    <t>ROT OE MANJERONA VERDADEIRA GT HUNGRIA 10 ML</t>
  </si>
  <si>
    <t>ROT OE MANJERONA-DOCE GT HUNGRIA 10 ML</t>
  </si>
  <si>
    <t>ROT OE MANJERONA-DOCE GT HUNGRIA 5 ML</t>
  </si>
  <si>
    <t>ROT OE MANUKA QT LEPTOSPERMONA 10 ML</t>
  </si>
  <si>
    <t>ROT OE MANUKA QT LEPTOSPERMONA 5ML</t>
  </si>
  <si>
    <t>ROT OE MAPO GT BRASIL 10ML</t>
  </si>
  <si>
    <t>ROT OE MASSOIA GT INDONESIA 5 ML</t>
  </si>
  <si>
    <t>ROT OE MASTIQUE GT MARROCOS 10 ML</t>
  </si>
  <si>
    <t>ROT OE MATICO (FALSO - JABORANDI) GT PERU 10 ML</t>
  </si>
  <si>
    <t>ROT OE MAY CHANG GT CHINA 10 ML (LITSEA CUBEBA)</t>
  </si>
  <si>
    <t>ROT OE MELISSA 10% GT SERVIA 10ML</t>
  </si>
  <si>
    <t>ROT OE MELISSA GT SERVIA 5ML</t>
  </si>
  <si>
    <t>ROT OE MENTRASTO GT BRASIL 10ML</t>
  </si>
  <si>
    <t>ROT OE MILEFOLIO AZUL GT INGLATERRA 10% 10 ML</t>
  </si>
  <si>
    <t>ROT OE MILEFOLIO AZUL GT INGLATERRA 5 ML</t>
  </si>
  <si>
    <t>ROT OE MIRRA DA SOMALIA RESINA 10 ML</t>
  </si>
  <si>
    <t>ROT OE MIRRA GT ETIOPIA 5 ML</t>
  </si>
  <si>
    <t>ROT OE MIRRA GT KENIA 5 ML</t>
  </si>
  <si>
    <t>ROT OE MIRRA LIGHT GT KENIA 10 ML</t>
  </si>
  <si>
    <t>ROT OE MIRRA-DE-NÉVOA GT BRASIL 5 ML</t>
  </si>
  <si>
    <t>ROT OE MONARDA ROSA GT CANADA 5 ML</t>
  </si>
  <si>
    <t>ROT OE MUNA (POEJO - DOS ANDES ) GT PERU 10 ML</t>
  </si>
  <si>
    <t>ROT OE MURTA (AC MIRTENILA) GT MARROCOS 5 ML</t>
  </si>
  <si>
    <t>ROT OE MURTA CINEOL GT ESPANHA 5 ML</t>
  </si>
  <si>
    <t>ROT OE MURTA DOS ANDES ( ARRYAN ) GT PERU 10 ML</t>
  </si>
  <si>
    <t>ROT OE MURTA LIMAO GT AUSTRALIA 10 ML</t>
  </si>
  <si>
    <t>ROT OE MURTA QT LINALOL GT TURQUIA 5 ML</t>
  </si>
  <si>
    <t>ROT OE NARDO VERDE GT NEPAL 5ML</t>
  </si>
  <si>
    <t>ROT OE NARDO VERMELHO GT INDIA 5 ML</t>
  </si>
  <si>
    <t>ROT OE NEROLI "FLOR-DE-LARANJEIRA" GT TUNISIA 5ML</t>
  </si>
  <si>
    <t>ROT OE NEROLI 10% GT TUNISIA 10ML</t>
  </si>
  <si>
    <t>ROT OE NIAOULI GT MADAGASCAR 10ML</t>
  </si>
  <si>
    <t>ROT OE NOOTKA TREE GT CANADA 10 ML</t>
  </si>
  <si>
    <t>ROT OE NOZ MOSCADA GT BRASIL 10ML</t>
  </si>
  <si>
    <t>ROT OE NOZ MOSCADA GT INDONESIA 10 ML</t>
  </si>
  <si>
    <t>ROT OE NOZ MOSCADA GT INDONESIA 5 ML</t>
  </si>
  <si>
    <t>ROT OE OLIBANO DA INDIA GT INDIA 10ML</t>
  </si>
  <si>
    <t>ROT OE OLIBANO DA INDIA GT INDIA 5 ML</t>
  </si>
  <si>
    <t>ROT OE OLIBANO DA SOMALIA 5ML</t>
  </si>
  <si>
    <t>ROT OE OLIBANO DO DESERTO GT SOMALIA 5 ML</t>
  </si>
  <si>
    <t>ROT OE OLIBANO MAYDI GT SOMÁLIA 5 ML</t>
  </si>
  <si>
    <t>ROT OE OLIBANO NEGRO VAR. NEGLECTA 5ML</t>
  </si>
  <si>
    <t>ROT OE OLIBANO SAGRADO GT OMÃ 5ML</t>
  </si>
  <si>
    <t>ROT OE OLIBANO-DO-SUDÃO GT ETIOPIA 5ML</t>
  </si>
  <si>
    <t>ROT OE OLIBANO-PRETO GT QUÊNIA 5ML</t>
  </si>
  <si>
    <t>ROT OE OPOPONAX GT QUENIA 5ML</t>
  </si>
  <si>
    <t>ROT OE ORÉGANO (TURCO) QT CARVACROL GT TURQUIA 5ML</t>
  </si>
  <si>
    <t>ROT OE OREGANO COMPACTO 10ML</t>
  </si>
  <si>
    <t>ROT OE OREGANO COMPACTO GT MARROCOS 5 ML</t>
  </si>
  <si>
    <t>ROT OE OREGANO DA ESPANHA GT ALBANIA 5 ML</t>
  </si>
  <si>
    <t>ROT OE OREGANO EXTRA GT HUNGRIA 10ML</t>
  </si>
  <si>
    <t>ROT OE OREGANO EXTRA GT HUNGRIA 5 ML</t>
  </si>
  <si>
    <t>ROT OE OREGANO GREGO GT GRECIA 10 ML</t>
  </si>
  <si>
    <t>ROT OE OREGANO QT CARVACROL GT TURQUIA 10 ML</t>
  </si>
  <si>
    <t>ROT OE OREGANO-DA-SIRIA GT TURQUIA 5ML</t>
  </si>
  <si>
    <t>ROT OE OREGANO-DO-MEDITERRANEO GT TURQUIA 5ML</t>
  </si>
  <si>
    <t>ROT OE PALMAROSA GT BRASIL 10ML</t>
  </si>
  <si>
    <t>ROT OE PALO PICHE MONTE NEGRO 10 ML</t>
  </si>
  <si>
    <t>ROT OE PARIPAROBA "CAPEBA" GT BRASIL 5ML</t>
  </si>
  <si>
    <t>ROT OE PATCHOULI ( CLARO) GT INDONESIA 10ML</t>
  </si>
  <si>
    <t>ROT OE PATCHOULI (ESCURO) GT INDONESIA 10ML</t>
  </si>
  <si>
    <t>ROT OE PATCHOULI (RESERVADO) GT INDONESIA 10ML</t>
  </si>
  <si>
    <t>ROT OE PAU PIMENTA GT BRASIL 5ML</t>
  </si>
  <si>
    <t>ROT OE PAU SANTO (FRUTOS) GT EQUADOR 5ML</t>
  </si>
  <si>
    <t>ROT OE PAU SANTO (MADEIRA) GT EQUADOR 5ML</t>
  </si>
  <si>
    <t>ROT OE PAU SANTO DOS INCAS 5 ML</t>
  </si>
  <si>
    <t>ROT OE PAU SANTO GUAIACO GT EQUADOR 10 ML</t>
  </si>
  <si>
    <t>ROT OE PAU-ROSA GT BRASIL 5ML</t>
  </si>
  <si>
    <t>ROT OE PETGRAIN-DE-LIMA COMBAVA GT INDONÉSIA 10ML</t>
  </si>
  <si>
    <t>ROT OE PETITGRAIN DE LARANJA GT PARAGUAI 10 ML</t>
  </si>
  <si>
    <t>ROT OE PETITGRAIN DE LIMAO "SICILIANO" 10ML</t>
  </si>
  <si>
    <t>ROT OE PETITGRAIN DE LIMAO "SICILIANO" 5ML GT ESPA</t>
  </si>
  <si>
    <t>ROT OE PETITGRAIN DE MANDARINA GT BRASIL 10ML</t>
  </si>
  <si>
    <t>ROT OE PETITGRAIN LIMA DA PÉRSIA GT BRASIL 10ML</t>
  </si>
  <si>
    <t>ROT OE PETITGRAIN LIMÃO CAPETA GT BRASIL 10ML</t>
  </si>
  <si>
    <t>ROT OE PETITGRAIN-DE-TANGERINA GT BRASIL 10ML</t>
  </si>
  <si>
    <t>ROT OE PIMENTA ROSA GT BRASIL 5ML</t>
  </si>
  <si>
    <t>ROT OE PIMENTA-PRETA GT ÍNDIA 5 ML</t>
  </si>
  <si>
    <t>ROT OE PINDAIBA FRUTOS GT BRASIL 10ML</t>
  </si>
  <si>
    <t>ROT OE PINDAIBA QT MIRCENO GT BRASIL 5ML</t>
  </si>
  <si>
    <t>ROT OE PINHEIRO AMARELO GT ARGENTINA 10ML</t>
  </si>
  <si>
    <t>ROT OE PINHEIRO ANAO GT AUSTRALIA 10ML</t>
  </si>
  <si>
    <t>ROT OE PINHEIRO DA AUSTRIA GT ASTRIA 10 ML</t>
  </si>
  <si>
    <t>ROT OE PINHEIRO MARÍTIMO GT FRANÇA 10ML</t>
  </si>
  <si>
    <t>ROT OE PINHEIRO SILVESTRE GT BULGARIA 50 ML</t>
  </si>
  <si>
    <t>ROT OE PINHEIRO SILVESTRE GT HUNGRIA 10 ML</t>
  </si>
  <si>
    <t>ROT OE PINHEIRO TAEDA GT BRASIL 10ML</t>
  </si>
  <si>
    <t>ROT OE PINHEIRO-SILVESTRE GT BULGARIA 10ML</t>
  </si>
  <si>
    <t>ROT OE PITANGA FOLHAS GT BRASIL 5ML</t>
  </si>
  <si>
    <t>ROT OE PLAI GENGIBRE CASSUMUNAR GT TAILANDIA 5 ML</t>
  </si>
  <si>
    <t>ROT OE POEJO EUROPEU GT EUA 10ML</t>
  </si>
  <si>
    <t>ROT OE POMELO GT BRASIL 10ML</t>
  </si>
  <si>
    <t>ROT OE PRECIOSA (MADEIRA) GT BRASIL 10 ML</t>
  </si>
  <si>
    <t>ROT OE PRIPRIOCA GT INDIA 10 ML</t>
  </si>
  <si>
    <t>ROT OE PRIPRIOCA GT INDIA 5 ML</t>
  </si>
  <si>
    <t>ROT OE RAVENSARA ANISATA GT MADAGASCAR 10 ML</t>
  </si>
  <si>
    <t>ROT OE RAVENSARA AROMATICA 10 ML</t>
  </si>
  <si>
    <t>ROT OE RAVENSARA-AROMATICA GT MADAGASCAR 5 ML</t>
  </si>
  <si>
    <t>ROT OE RAVINTSARA GT MADAGASCAR 10 ML</t>
  </si>
  <si>
    <t>ROT OE RAVINTSARA GT MADAGASCAR 5 ML</t>
  </si>
  <si>
    <t>ROT OE ROSA DE DAMASCO 10% GT MARROCOS10 ML</t>
  </si>
  <si>
    <t>ROT OE ROSA-BRANCA GT BULGARIA 10% 10 ML</t>
  </si>
  <si>
    <t>ROT OE ROSA-BRANCA GT BULGARIA 5 ML</t>
  </si>
  <si>
    <t xml:space="preserve">ROT OE ROSA-DE-DAMASCO GT MARROCOS 5 ML </t>
  </si>
  <si>
    <t>ROT OE SALSA (SEMENTES) GT INDIA 5 ML</t>
  </si>
  <si>
    <t>ROT OE SALSA FOLHAS GT EUA 5ML</t>
  </si>
  <si>
    <t>ROT OE SALSA SEMENTES GT ÍNDIA 10ML</t>
  </si>
  <si>
    <t>ROT OE SÁLVIA BRANCA GT EUA 5ML</t>
  </si>
  <si>
    <t>ROT OE SALVIA DA ESPANHA GT ESPANHA 10 ML</t>
  </si>
  <si>
    <t>ROT OE SALVIA DALMACIANA GT FRANÇA 5 ML</t>
  </si>
  <si>
    <t>ROT OE SALVIA ESCLAREA GT EUA 5 ML</t>
  </si>
  <si>
    <t>ROT OE SALVIA ESCLAREA GT FRANÇA 5 ML</t>
  </si>
  <si>
    <t>ROT OE SALVIA-DA-ESPANHA GT ESPANHA 5 ML</t>
  </si>
  <si>
    <t>ROT OE SALVIA-ESCLAREIA GT BULGÁRIA 10 ML</t>
  </si>
  <si>
    <t>ROT OE SALVIA-ESCLAREIA GT BULGÁRIA 5 ML</t>
  </si>
  <si>
    <t>ROT OE SALVIA-ESCLAREIA GT INGLATERRA 10 ML</t>
  </si>
  <si>
    <t>ROT OE SANDALO AMYRIS - GT HAITI 10 ML</t>
  </si>
  <si>
    <t>ROT OE SANDALO INDIANO 10% 5 ML</t>
  </si>
  <si>
    <t>ROT OE SANDALO INDIANO 5ML</t>
  </si>
  <si>
    <t>ROT OE SANDALO-AMYRIS GT HAITI 5 ML</t>
  </si>
  <si>
    <t>ROT OE SANDALO-DA-AUSTRALIA GT AUSTRALIA 5 ML</t>
  </si>
  <si>
    <t>ROT OE SARO GT MADAGASCAR 10 ML</t>
  </si>
  <si>
    <t>ROT OE SEGURELHA GT ITALIA 10 ML</t>
  </si>
  <si>
    <t>ROT OE SEGURELHA GT ITALIA 5 ML</t>
  </si>
  <si>
    <t>ROT OE SEMPRE VIVA DAS AREIAS10% GT PORTUGAL10ML</t>
  </si>
  <si>
    <t>ROT OE SEMPRE VIVA FEMEA GT MADAGASCAR 10ML</t>
  </si>
  <si>
    <t>ROT OE SEMPRE VIVA IMMORTELLE GT BOSNIA 5ML</t>
  </si>
  <si>
    <t>ROT OE SEMPRE VIVA IMORTELLE 10% GT BOSNIA 10 ML</t>
  </si>
  <si>
    <t>ROT OE SEMPRE-VIVA-FARADIFANI GT MADAGASCAR 5ML</t>
  </si>
  <si>
    <t>ROT OE SEMPRE-VIVA-MACHO GT MADAGASCAR 5ML</t>
  </si>
  <si>
    <t>ROT OE SHISO GT JAPÃO 5ML</t>
  </si>
  <si>
    <t>ROT OE SUCUPIRA BRANCA GT BRASIL 5ML</t>
  </si>
  <si>
    <t>ROT OE TAGETES GT MADAGASCAR 10ML</t>
  </si>
  <si>
    <t>ROT OE TANA (ISSA)  FOLHAS GT MADAGASCAR 10 ML</t>
  </si>
  <si>
    <t>ROT OE TANACETO AZUL 10% GT MARROCOS 10 ML</t>
  </si>
  <si>
    <t>ROT OE TANACETO AZUL GT MARROCOS 5 ML</t>
  </si>
  <si>
    <t>ROT OE TANGELO GT BRASIL 10ML</t>
  </si>
  <si>
    <t>ROT OE TANGERINA (LFC) GT BRASIL 10ML</t>
  </si>
  <si>
    <t>ROT OE TANGERINA PONKAN GT BRASIL 10 ML</t>
  </si>
  <si>
    <t>ROT OE TEA TREE ( AUSTRALIANO) GT AUSTRALIA 10ML</t>
  </si>
  <si>
    <t>ROT OE TEA TREE (BRASILEIRO) GT BRASIL 10 ML</t>
  </si>
  <si>
    <t>ROT OE TEA TREE (BRASILEIRO) GT BRASIL 5 ML</t>
  </si>
  <si>
    <t>ROT OE TEA TREE (BRASILEIRO) GT BRASIL 50 ML</t>
  </si>
  <si>
    <t>ROT OE TEA TREE 10 ML (MIÓ)</t>
  </si>
  <si>
    <t>ROT OE TEA TREE BRANCO GT BRASIL 10ML</t>
  </si>
  <si>
    <t>ROT OE TEA TREE GT AUSTRALIA 50 ML</t>
  </si>
  <si>
    <t>ROT OE TEA TREE LAVANDA GT AUSTRALIA 5ML</t>
  </si>
  <si>
    <t>ROT OE TEA TREE LIMAO GT AUSTRALIA 5 ML</t>
  </si>
  <si>
    <t>ROT OE TOMILHO (GERANIOL) GT FRANÇA 5 ML</t>
  </si>
  <si>
    <t>ROT OE TOMILHO (LINALOL) GT FRANCA 5  ML</t>
  </si>
  <si>
    <t>ROT OE TOMILHO QT BORNEOL GT MARROCOS 10 ML</t>
  </si>
  <si>
    <t>ROT OE TOMILHO QT TUIANOL GT FRANÇA 10 ML</t>
  </si>
  <si>
    <t>ROT OE TOMILHO SPIKE GT TURQUIA 10ML</t>
  </si>
  <si>
    <t>ROT OE TOMILHO VERMELHO GT ESPANHA 10ML</t>
  </si>
  <si>
    <t>ROT OE TOMILHO-BRANCO QT TIMOL GT HUNGRIA 10 ML</t>
  </si>
  <si>
    <t>ROT OE TOMILHO-SERPILHO GT ALBÂNIA 5 ML</t>
  </si>
  <si>
    <t>ROT OE TUIA MAÇA GT BRASIL 10ML</t>
  </si>
  <si>
    <t>ROT OE TUIA-ORIENTAL (FOLHAS) GT CANADA 5 ML</t>
  </si>
  <si>
    <t>ROT OE TURMERICO (CURCUMA) GT INDIA 5 ML</t>
  </si>
  <si>
    <t>ROT OE TURMERICO GT INDIA 10ML</t>
  </si>
  <si>
    <t>ROT OE VALERIANA INDIANA GT NEPAL 5ML</t>
  </si>
  <si>
    <t>ROT OE VERBENA BRANCA GT BRASIL 10 ML</t>
  </si>
  <si>
    <t>ROT OE VERBENA-BRANCA GT BRASIL 5 ML</t>
  </si>
  <si>
    <t>ROT OE VETIVER (DEFUMADO) GT INDONÉSIA 5 ML</t>
  </si>
  <si>
    <t>ROT OE VETIVER GT HAITI 5 ML</t>
  </si>
  <si>
    <t>ROT OE VETIVER GT INDONESIA (JAVA) 10 ML</t>
  </si>
  <si>
    <t>ROT OE VETIVER GT INDONÉSIA 5 ML</t>
  </si>
  <si>
    <t>ROT OE VETIVER HD GT HAITI 5 ML</t>
  </si>
  <si>
    <t>ROT OE VITEX ( FRUTOS) GT TURQUIA 5ML</t>
  </si>
  <si>
    <t>ROT OE WINTERGREEN GT CHINA 10 ML</t>
  </si>
  <si>
    <t>ROT OE WINTERGREEN-INDIANO GT NEPAL 10 ML</t>
  </si>
  <si>
    <t>ROT OE YLANG YLANG (COMPLETO) GT INDONESIA 5ML</t>
  </si>
  <si>
    <t>ROT OE YLANG YLANG COMPLETO GT MADAGASCAR 5 ML</t>
  </si>
  <si>
    <t>ROT OE YLANG YLANG EXTRA GT INDONESIA 5 ML</t>
  </si>
  <si>
    <t>ROT OE YLANG YLANG I GT CHINA 10 ML</t>
  </si>
  <si>
    <t>ROT OE YLANG YLANG I GT CHINA 5 ML</t>
  </si>
  <si>
    <t>ROT OE YLANG YLANG I GT MADAGASCAR 5 ML</t>
  </si>
  <si>
    <t>ROT OE YLANG YLANG II GT MADAGASCAR 5 ML</t>
  </si>
  <si>
    <t>ROT OE YLANG YLANG III GT ILHAS 10 ML</t>
  </si>
  <si>
    <t>ROT OE YLANG YLANG III GT MADAGASCAR 10 ML</t>
  </si>
  <si>
    <t>ROT OE YLANG YLANG III GT MADAGASCAR 5 ML</t>
  </si>
  <si>
    <t>ROT OE YLANG-YLANG III GT ILHAS COMORES 10 ML</t>
  </si>
  <si>
    <t>ROT OE YLANG-YLANG III GT ILHAS COMORES 5 ML</t>
  </si>
  <si>
    <t>ROT OE YUZU GT JAPÃO 5 ML</t>
  </si>
  <si>
    <t>ROT OE ZINZIBA GT AFRICA DO SUL 10 ML</t>
  </si>
  <si>
    <t>ROT OG ABACATE 60 ML</t>
  </si>
  <si>
    <t>ROT OG ABACATE EXTRA-VIRGEM 120 ML</t>
  </si>
  <si>
    <t>ROT OG ABÓBORA SEMENTES EXTRA-VIRGEM 120 ML</t>
  </si>
  <si>
    <t>ROT OG AMÊNDOAS DOCES EXTRA-VIRGEM 120 ML</t>
  </si>
  <si>
    <t>ROT OG AMENDOAS-DOCES 60 ML</t>
  </si>
  <si>
    <t>ROT OG ANDIROBA EXTRA-VIRGEM 120 ML</t>
  </si>
  <si>
    <t>ROT OG ARGAN 15 ML</t>
  </si>
  <si>
    <t>ROT OG ARGAN EXTRA VIRGEM 120 ML</t>
  </si>
  <si>
    <t>ROT OG AVELA EXTRA VIRGEM 120ML</t>
  </si>
  <si>
    <t>ROT OG BORRAGEM 15 ML</t>
  </si>
  <si>
    <t>ROT OG BURITI EXTRA-VIRGEM 120ML</t>
  </si>
  <si>
    <t>ROT OG GERGELIM EXTRA-VIRGEM 120 ML</t>
  </si>
  <si>
    <t>ROT OG GERME DE TRIGO EXTRA VIRGEM 15ML</t>
  </si>
  <si>
    <t>ROT OG GIRASSOL 200ML</t>
  </si>
  <si>
    <t>ROT OG GIRASSOL 500ML</t>
  </si>
  <si>
    <t>ROT OG GIRASSOL EXTRA-VIRGEM 120ML</t>
  </si>
  <si>
    <t>ROT OG GROSELHA-NEGRA 120 ML</t>
  </si>
  <si>
    <t>ROT OG JOJOBA EXTRA-VIRGEM 15 ML</t>
  </si>
  <si>
    <t>ROT OG LICURI 120ML</t>
  </si>
  <si>
    <t>ROT OG LINHAÇA 200ML</t>
  </si>
  <si>
    <t>ROT OG LINHAÇA 500ML</t>
  </si>
  <si>
    <t>ROT OG MACADAMIA 60 ML</t>
  </si>
  <si>
    <t>ROT OG MACADAMIA EXTRA-VIRGEM 120 ML</t>
  </si>
  <si>
    <t>ROT OG MARACUJA 200ML</t>
  </si>
  <si>
    <t>ROT OG MARACUJA 500 ML</t>
  </si>
  <si>
    <t>ROT OG MARACUJÁ SEMENTES EXTRA-VIRGEM 120 ML</t>
  </si>
  <si>
    <t>ROT OG MASOL (CLÁSSICO) 200 ML</t>
  </si>
  <si>
    <t>ROT OG MASOL (UMECTAÇÃO) 200 ML</t>
  </si>
  <si>
    <t>ROT OG MASOL 500 ML</t>
  </si>
  <si>
    <t>ROT OG NEEM EXTRA-VIRGEM 120ML</t>
  </si>
  <si>
    <t>ROT OG PRACAXI EXTRA-VIRGEM 120ML</t>
  </si>
  <si>
    <t>ROT OG PRIMULA 15ML</t>
  </si>
  <si>
    <t>ROT OG PRIMULA 200ML</t>
  </si>
  <si>
    <t>ROT OG RICINO (MAMONA) 60 ML</t>
  </si>
  <si>
    <t>ROT OG RICINO (MAMONA) EXTRA-VIRGEM 120 ML</t>
  </si>
  <si>
    <t>ROT OG ROSA MOSQUETA 15ML</t>
  </si>
  <si>
    <t>ROT OG TAMANU 15ML</t>
  </si>
  <si>
    <t>ROT OG URUCUM EXTRA VIRGEM 120ML</t>
  </si>
  <si>
    <t>ROT OG UVA SEMENTES EXTRA VIRGEM 120 ML</t>
  </si>
  <si>
    <t>ROT OM COMINHO-PRETO GT TURQUIA 10 ML</t>
  </si>
  <si>
    <t>ROT OM CUMARU GT BRASIL 10 ML</t>
  </si>
  <si>
    <t>ROT OR ALECRIM GT INDIA 5ML</t>
  </si>
  <si>
    <t>ROT OR BAUNILHA GT MADAGASCAR 5 ML</t>
  </si>
  <si>
    <t>ROT OR COPAIBA BRANCA GT BRASIL OLEORESINA 10ML</t>
  </si>
  <si>
    <t>ROT OR COPAIBA BRANCA GT BRASIL OLEORESINA 50ML</t>
  </si>
  <si>
    <t>ROT OR COPAIBA VERMELHA GT BRASIL 10ML</t>
  </si>
  <si>
    <t>ROT OR LADANO GT ESPANHA 10 ML</t>
  </si>
  <si>
    <t>ROT OR MIRRA DA INDIA GT INDIA 5ML</t>
  </si>
  <si>
    <t>ROT OR PIMENTA-PRETA GT INDIA 10 ML</t>
  </si>
  <si>
    <t>ROT OR SANGUE DE DRAGÃO GT BRASIL 10ML</t>
  </si>
  <si>
    <t>ROT OR TURMERICO (CURCUMA) GT INDIA 10 ML</t>
  </si>
  <si>
    <t>ROT PE ALEGRIA E MOTIVAÇÃO 200ML</t>
  </si>
  <si>
    <t>ROT PE AMOR E SEDUÇÃO 200ML</t>
  </si>
  <si>
    <t>ROT PE CALMA E PAZ 200ML</t>
  </si>
  <si>
    <t>ROT ROLL ON ADAPTAÇAO</t>
  </si>
  <si>
    <t>ROT ROLL ON AFRODISIACO</t>
  </si>
  <si>
    <t>ROT ROLL ON ALEGRIA</t>
  </si>
  <si>
    <t>ROT ROLL ON ALIVIUM</t>
  </si>
  <si>
    <t>ROT ROLL ON ANTI TABACO</t>
  </si>
  <si>
    <t>ROT ROLL ON ENERGIA</t>
  </si>
  <si>
    <t>ROT ROLL ON ESTUDO</t>
  </si>
  <si>
    <t>ROT ROLL ON LEVE-MENTE</t>
  </si>
  <si>
    <t>ROT ROLL ON NO ESTRESS</t>
  </si>
  <si>
    <t>ROT ROLL ON SACIEDADE</t>
  </si>
  <si>
    <t>ROT ROLL ON SONHADO</t>
  </si>
  <si>
    <t>ROT SN 4 LADRÕES 10 ML</t>
  </si>
  <si>
    <t>ROT SN ALEGRIA E MOTIVAÇÃO 10 ML</t>
  </si>
  <si>
    <t>ROT SN ALEGRIA E MOTIVAÇÃO 5 ML</t>
  </si>
  <si>
    <t>ROT SN AROMA-REPEL 10 ML</t>
  </si>
  <si>
    <t>ROT SN AROMA-REPEL 5 ML</t>
  </si>
  <si>
    <t>ROT SN AROMAKIDS 5 ML</t>
  </si>
  <si>
    <t>ROT SN AROMARESCUE 5 ML</t>
  </si>
  <si>
    <t>ROT SN CABELOS 10 ML</t>
  </si>
  <si>
    <t>ROT SN CABELOS 5 ML</t>
  </si>
  <si>
    <t>ROT SN CALMA E PAZ 10 ML</t>
  </si>
  <si>
    <t>ROT SN CALMA E PAZ 5 ML</t>
  </si>
  <si>
    <t>ROT SN CHAKRAS 1 MULADHARA 10 ML</t>
  </si>
  <si>
    <t>ROT SN CHAKRAS 2 SVADHISTHANA 10 ML</t>
  </si>
  <si>
    <t>ROT SN CHAKRAS 3 MANIPURA 10 ML</t>
  </si>
  <si>
    <t>ROT SN CHAKRAS 4 ANAHATA 10 ML</t>
  </si>
  <si>
    <t>ROT SN CHAKRAS 5 VISHUDA 10 ML</t>
  </si>
  <si>
    <t>ROT SN CHAKRAS 6 AJÑA 10 ML</t>
  </si>
  <si>
    <t>ROT SN CHAKRAS 7 SAHASRARA 10 ML</t>
  </si>
  <si>
    <t>ROT SN CITRUS SLIM OIL 10 ML</t>
  </si>
  <si>
    <t>ROT SN DR. GUMBEL FLORES 15ML</t>
  </si>
  <si>
    <t>ROT SN DR. GUMBEL FOLHAS 15ML</t>
  </si>
  <si>
    <t>ROT SN DR. GUMBEL RAIZES 15ML</t>
  </si>
  <si>
    <t>ROT SN ENERGIA E RENOVAÇÃO 10 ML</t>
  </si>
  <si>
    <t>ROT SN ENERGIA E RENOVACAO 5 ML</t>
  </si>
  <si>
    <t>ROT SN EQUILIBRIO E BEM ESTAR 5 ML</t>
  </si>
  <si>
    <t>ROT SN FITONCIDAS 5 ML</t>
  </si>
  <si>
    <t>ROT SN FOCO E CONCENTRAÇÃO 10 ML</t>
  </si>
  <si>
    <t>ROT SN FOCO E CONCENTRAÇÃO 5 ML</t>
  </si>
  <si>
    <t>ROT SN HOMEM 5 ML</t>
  </si>
  <si>
    <t>ROT SN IMUNIDADE 5 ML</t>
  </si>
  <si>
    <t>ROT SN IMUNIS 5 ML</t>
  </si>
  <si>
    <t>ROT SN INSPIRAÇÃO E CRIATIVIDADE 5 ML</t>
  </si>
  <si>
    <t>ROT SN MAHALILAH 20% 5 ML</t>
  </si>
  <si>
    <t>ROT SN MULHER 5 ML</t>
  </si>
  <si>
    <t>ROT SN OXYCLEAN 10 ML</t>
  </si>
  <si>
    <t>ROT SN PULMINUM 5 ML</t>
  </si>
  <si>
    <t>ROT SN RAKU 10 ML</t>
  </si>
  <si>
    <t>ROT SN RAKU 5 ML</t>
  </si>
  <si>
    <t>ROT SN SINUS 10 ML</t>
  </si>
  <si>
    <t>ROT SN SINUS 5 ML</t>
  </si>
  <si>
    <t>ROT SN SONO E SONHOS 5 ML</t>
  </si>
  <si>
    <t>ROT SN WOMAN OIL 10 ML</t>
  </si>
  <si>
    <t>ROT TH ABS BAUNILHA 10% GT MADAGASCAR 10ML</t>
  </si>
  <si>
    <t>ROT TH ABS BAUNILHA GT MADAGASCAR 5ML</t>
  </si>
  <si>
    <t>ROT TH ABS CACAU 30% GT EGITO 10ML</t>
  </si>
  <si>
    <t>ROT TH ABS CARDAMOMO GT GUATEMALA 10 ML</t>
  </si>
  <si>
    <t>ROT TH ABS FUNGHI PORCINI GT FRANÇA 10ML</t>
  </si>
  <si>
    <t>ROT TH ABS JASMIM SAMBAC 10% GT INDIA 10 ML</t>
  </si>
  <si>
    <t>ROT TH ABS JASMIM SAMBAC GT INDIA 5 ML</t>
  </si>
  <si>
    <t>ROT TH CO2 AIPO (FOLHAS) CO2-TO GT INDIA 10ML</t>
  </si>
  <si>
    <t>ROT TH CO2 CANELA DO CEILÃO CO2-SE GT INDIA 5ML</t>
  </si>
  <si>
    <t>ROT TH CO2 CARDAMOMO CO2 -SE GT ÍNDIA 10 ML</t>
  </si>
  <si>
    <t>ROT TH CO2 CENOURA CO2-SE GT ALEMANHA 5ML</t>
  </si>
  <si>
    <t>ROT TH CO2 COENTRO SEMENTES CO2-SE GT POLONIA 5 ML</t>
  </si>
  <si>
    <t>ROT TH CO2 FENO GREGO CO2-SE GT INDIA 10ML</t>
  </si>
  <si>
    <t>ROT TH CO2 GENGIBRE CO2-TO 10 ML</t>
  </si>
  <si>
    <t>ROT TH CO2 GENGIBRE CO2-TO GT ÍNDIA 5 ML</t>
  </si>
  <si>
    <t>ROT TH CO2 GENGIBRE GT ÍNDIA CO2-SE 5ML</t>
  </si>
  <si>
    <t>ROT TH CO2 JUNIPERO BAGAS 10ML</t>
  </si>
  <si>
    <t>ROT TH CO2 JUNIPERO BAGAS CO2-SE GT INDIA 5ML</t>
  </si>
  <si>
    <t>ROT TH CO2 LUPULO CO2-SE GT EUA 5 ML</t>
  </si>
  <si>
    <t>ROT TH CO2 LÚPULO CO2-TO 5 ML</t>
  </si>
  <si>
    <t>ROT TH CO2 MANTEIGA CO2-SE GT BELGICA 5ML</t>
  </si>
  <si>
    <t>ROT TH CO2 MANTEIGA GT BÉLGICA 5 ML</t>
  </si>
  <si>
    <t>ROT TH CO2 PIMENTA MALAGUETA CO2-TO GT INDIA 10ML</t>
  </si>
  <si>
    <t>ROT TH CO2 PIMENTA NEGRA CO2-SE GT INDIA 5 ML</t>
  </si>
  <si>
    <t>ROT TH CO2 TURMERICO RIZOMAS CO2 SE GT INDIA 5 ML</t>
  </si>
  <si>
    <t>ROT TH OE ABSINTO (LOSNA) DM GT FRANÇA 5 ML</t>
  </si>
  <si>
    <t>ROT TH OE AIPO ( SEMENTES) GT INDIA 10 ML</t>
  </si>
  <si>
    <t>ROT TH OE ALCARAVIA SEMENTES GT EGITO 10 ML</t>
  </si>
  <si>
    <t>ROT TH OE ALHO GT CHINA 10 ML</t>
  </si>
  <si>
    <t>ROT TH OE ALHO GT CHINA 5 ML</t>
  </si>
  <si>
    <t>ROT TH OE ASSAFETIDA 10% GT INDIA 10ML</t>
  </si>
  <si>
    <t>ROT TH OE ASSAFETIDA GT INDIA 5 ML</t>
  </si>
  <si>
    <t>ROT TH OE BAY-RUM GT JAMAICA 5 ML</t>
  </si>
  <si>
    <t>ROT TH OE BERGAMOTA GT ITALIA 10ML</t>
  </si>
  <si>
    <t>ROT TH OE BETULA DEFUMADA GT RUSSIA 10ML</t>
  </si>
  <si>
    <t>ROT TH OE CAMOMILA AZUL GT INGLATERRA 5ML</t>
  </si>
  <si>
    <t>ROT TH OE CAMOMILA ROMANA 10% GT EUA 10ML</t>
  </si>
  <si>
    <t>ROT TH OE CAMOMILA ROMANA GT EUA 5ML</t>
  </si>
  <si>
    <t>ROT TH OE CAMOMILA-AZUL 10% GT INGLATERRA 10ML</t>
  </si>
  <si>
    <t>ROT TH OE CAMOMILA-ROMANA GT INGLATERRA 5ML</t>
  </si>
  <si>
    <t>ROT TH OE CANELA DO CEILAO CASCAS GT SRLANKA 10ML</t>
  </si>
  <si>
    <t>ROT TH OE CAPIM CIDREIRA GT BRASIL 10 ML</t>
  </si>
  <si>
    <t>ROT TH OE CAPIM LIMÃO GT BRASIL 10 ML</t>
  </si>
  <si>
    <t>ROT TH OE CARDAMOMO HD GT GUATEMALA 10ML</t>
  </si>
  <si>
    <t>ROT TH OE CARDAMOMO HD GT GUATEMALA 5 ML</t>
  </si>
  <si>
    <t>ROT TH OE CEBOLA GT INDIA 10 ML</t>
  </si>
  <si>
    <t>ROT TH OE CENOURA (SEMENTES) GT INDIA 10 ML</t>
  </si>
  <si>
    <t>ROT TH OE CENOURA SEMENTES HD GT ALEMANHA 5ML</t>
  </si>
  <si>
    <t>ROT TH OE COENTRO ( FOLHAS) GT EUA 10ML</t>
  </si>
  <si>
    <t>ROT TH OE COMINHO GT INDIA 10ML</t>
  </si>
  <si>
    <t>ROT TH OE CONHAQUE VERDE GT FRANCA 5ML</t>
  </si>
  <si>
    <t>ROT TH OE CRAVO DA INDIA (BOTOES) GT BRASIL 10ML</t>
  </si>
  <si>
    <t>ROT TH OE CUMARU GT BRASIL 10 ML</t>
  </si>
  <si>
    <t>ROT TH OE DAVANA GT INDIA 5ML</t>
  </si>
  <si>
    <t>ROT TH OE ERVA DOCE (SEMENTES) GT EGITO 10ML</t>
  </si>
  <si>
    <t>ROT TH OE ESTRAGAO GT EUA 10ML</t>
  </si>
  <si>
    <t>ROT TH OE GENGIBRE GT CHINA 10 ML</t>
  </si>
  <si>
    <t>ROT TH OE GENGIBRE HD SRI LANKA 5ML</t>
  </si>
  <si>
    <t>ROT TH OE GERÂNIO (BRASILEIRO) GT BRASIL 5ML</t>
  </si>
  <si>
    <t>ROT TH OE GERÂNIO-ROSA (BRASILEIRO) GT BRASIL 5ML</t>
  </si>
  <si>
    <t>ROT TH OE GRAPEFRUIT ROSA GT BRASIL 10ML</t>
  </si>
  <si>
    <t>ROT TH OE GRAPEFRUIT-ROSA 5X GT BRASIL 10ML</t>
  </si>
  <si>
    <t>ROT TH OE HISSOPO GT FRANÇA 5ML</t>
  </si>
  <si>
    <t>ROT TH OE HISSOPO-DECUMBES GT ESPANHA 5 ML</t>
  </si>
  <si>
    <t>ROT TH OE HORTELÃ PIMENTA (EXTRA) GT EUA 10 ML</t>
  </si>
  <si>
    <t>ROT TH OE HORTELÃ VERDE GT INDIA 10 ML</t>
  </si>
  <si>
    <t>ROT TH OE LARANJA DA TERRA GT BRASIL 10ML</t>
  </si>
  <si>
    <t>ROT TH OE LARANJA SELVAGEM GT REP. DOMINICANA 10ML</t>
  </si>
  <si>
    <t>ROT TH OE LARANJA-DOCE 5X GT BRASIL 10ML</t>
  </si>
  <si>
    <t>ROT TH OE LAVANDA FINA (BULGARA) GT BULGARIA 10ML</t>
  </si>
  <si>
    <t>ROT TH OE LAVANDA FINA GT GRECIA 5 ML</t>
  </si>
  <si>
    <t>ROT TH OE LAVANDA SPIKE QT CÂNF. GT ESPANHA 10 ML</t>
  </si>
  <si>
    <t>ROT TH OE LEVISTICO (FOLHAS) GT HUNGRIA 10ML</t>
  </si>
  <si>
    <t>ROT TH OE LIMA DA PERSIA GT BRASIL 10ML</t>
  </si>
  <si>
    <t>ROT TH OE LIMA TAHITI GT BRASIL 10ML</t>
  </si>
  <si>
    <t>ROT TH OE LIMA-TAHITI 5X GT BRASIL 10ML</t>
  </si>
  <si>
    <t>ROT TH OE LIMÃO SICILIANO 5X GT BRASIL 10ML</t>
  </si>
  <si>
    <t>ROT TH OE LIMAO SICILIANO VERDE GT BRASIL 10ML</t>
  </si>
  <si>
    <t>ROT TH OE LUPULO GT EUA 5 ML</t>
  </si>
  <si>
    <t>ROT TH OE MANDARINA 5X GT BRASIL 10ML</t>
  </si>
  <si>
    <t>ROT TH OE MANDARINA T LESS GT BRASIL 10ML</t>
  </si>
  <si>
    <t>ROT TH OE MANDARINA VERMELHA GT BRASIL 10ML</t>
  </si>
  <si>
    <t>ROT TH OE MANJERICÃO ANIS GT BRASIL 10ML</t>
  </si>
  <si>
    <t>ROT TH OE MANJERONA VERDADEIRA GT EGITO 10ML</t>
  </si>
  <si>
    <t>ROT TH OE OREGANO DA SIRIA GT TURQUIA 10ML</t>
  </si>
  <si>
    <t>ROT TH OE PÊSSEGO (FOLHAS) GT BRASIL 10ML</t>
  </si>
  <si>
    <t>ROT TH OE PIMENTA DA JAMAICA 10ML</t>
  </si>
  <si>
    <t>ROT TH OE PIMENTA PRETA GT INDIA 5ML</t>
  </si>
  <si>
    <t>ROT TH OE PIMENTA ROSA GT BRASIL 5ML</t>
  </si>
  <si>
    <t>ROT TH OE PIMENTA-PRETA GT GUATEMALA 10 ML</t>
  </si>
  <si>
    <t>ROT TH OE ROSA BRANCA GT BULGARIA 5ML</t>
  </si>
  <si>
    <t>ROT TH OE SALSA (FOLHAS) GT BRASIL 10ML</t>
  </si>
  <si>
    <t>ROT TH OE SALSA SEMENTES GT ÍNDIA 10ML</t>
  </si>
  <si>
    <t>ROT TH OE SALVIA ESCLAREA GT EUA 5ML</t>
  </si>
  <si>
    <t>ROT TH OE SÂNDALO-HAVAIANO 10% GT HAVAÍ 10ML</t>
  </si>
  <si>
    <t>ROT TH OE SÂNDALO-HAVAIANO GT HAVAÍ 5ML</t>
  </si>
  <si>
    <t>ROT TH OE TANGERINA PONKAN GT BRASIL 10ML</t>
  </si>
  <si>
    <t>ROT TH OE VETIVER GT HAITI 5 ML</t>
  </si>
  <si>
    <t>ROT TH OE VETIVER HD GT HAITI 5ML</t>
  </si>
  <si>
    <t>ROT TH OE YLANG-YLANG COMPLETO GT MADAGASCAR 10 ML</t>
  </si>
  <si>
    <t>ROT TH OE YLANG-YLANG COMPLETO GT MADAGASCAR 5 ML</t>
  </si>
  <si>
    <t>ROT TH OE YLANG-YLANG EXTRA GT MADAGASCAR 10ML</t>
  </si>
  <si>
    <t>ROT TH OE YUZU GT JAPÂO 5ML</t>
  </si>
  <si>
    <t>ROT TH OG BABAÇU 500ML</t>
  </si>
  <si>
    <t>ROT TH OG PALMISTE 3L</t>
  </si>
  <si>
    <t>ROT TH OG PALMISTE 500ML</t>
  </si>
  <si>
    <t>ROT TH OG PALMISTE 5L</t>
  </si>
  <si>
    <t>ROT TH OM COMINHO-PRETO GT TURQUIA 10ML</t>
  </si>
  <si>
    <t>ROT TH OM LOURO "LOURO-DA-GRÉCIA" GT BRASIL 5 ML</t>
  </si>
  <si>
    <t>ROT TH OR ALECRIM GT INDIA 10 ML</t>
  </si>
  <si>
    <t>ROT TH OR ALHO GT INDIA 10ML</t>
  </si>
  <si>
    <t>ROT TH OR BAUNILHA 10% GT MADAGASCAR 10ML</t>
  </si>
  <si>
    <t>ROT TH OR BAUNILHA GT MADAGASCAR 10ML</t>
  </si>
  <si>
    <t>ROT TH OR BAUNILHA GT MADAGASCAR 5 ML</t>
  </si>
  <si>
    <t>ROT TH OR CARDAMOMO GT GUATEMALA 10ML</t>
  </si>
  <si>
    <t>ROT TH OR COPAIBA BRANCA GT BRASIL 10ML</t>
  </si>
  <si>
    <t>ROT TH OR CRAVO-DA-ÍNDIA GT INDIA 10 ML</t>
  </si>
  <si>
    <t>ROT TH OR GENGIBRE GT INDIA 10 ML</t>
  </si>
  <si>
    <t>ROT TH OR ORÉGANO GT INDIA 10 ML</t>
  </si>
  <si>
    <t>ROT TH OR PÁPRICA GT INDIA 10 ML</t>
  </si>
  <si>
    <t>ROT TH OR PIMENTA-PRETA GT GUATEMALA 10 ML</t>
  </si>
  <si>
    <t>ROT TH OR TURMÉRICO GT ÍNDIA 10ML</t>
  </si>
  <si>
    <t>SAL REFINADO</t>
  </si>
  <si>
    <t>SELO DE INDUÇÃO 13,7MM</t>
  </si>
  <si>
    <t xml:space="preserve">UNIFLEX UNIAO DE FLEXIVEIS </t>
  </si>
  <si>
    <t>SELO DE INDUÇÃO 21MM</t>
  </si>
  <si>
    <t>SEMENTE DE SUCUPIRA GRAÚDA</t>
  </si>
  <si>
    <t>LUIZABELA</t>
  </si>
  <si>
    <t>SEMENTE DE SUCUPIRA MIÚDA</t>
  </si>
  <si>
    <t>UVA PASSAS CLARA 5 KG</t>
  </si>
  <si>
    <t>UVA PASSAS ESCURA 5KG</t>
  </si>
  <si>
    <t>Preço Custo</t>
  </si>
  <si>
    <t>Estoque</t>
  </si>
  <si>
    <t>Status</t>
  </si>
  <si>
    <t>ARGILA BRANCA 230G</t>
  </si>
  <si>
    <t>Retirar de linha</t>
  </si>
  <si>
    <t>⛔ RETIRADA DE LINHA</t>
  </si>
  <si>
    <t>ARGILA PRETA 350G</t>
  </si>
  <si>
    <t>ARGILA VERDE 350G</t>
  </si>
  <si>
    <t>ARGILA VERMELHA 350G</t>
  </si>
  <si>
    <t xml:space="preserve">CO ALOEGEL ESFOLIANTE 200G </t>
  </si>
  <si>
    <t>CO GEL NEUTRO 1KG</t>
  </si>
  <si>
    <t>CO GEL NEUTRO 200G</t>
  </si>
  <si>
    <t>CO MY CREAM PELES NORMAIS E OLEOSAS 1KG</t>
  </si>
  <si>
    <t>OG MARACUJA 500ML</t>
  </si>
  <si>
    <t>CHOCOLATE AO LEITE COM OMEGA 3 40 80G</t>
  </si>
  <si>
    <t>CHOCOLATE AO LEITE COM ÔMEGA 3 5G</t>
  </si>
  <si>
    <t xml:space="preserve">CHOCOLATE BRANCO BETULA DEFUMADA E BARU 40 </t>
  </si>
  <si>
    <t>CHOCOLATE BRANCO DE PACOCA 5G</t>
  </si>
  <si>
    <t>CHOCOLATE BRANCO DE ROSAS E HIBISCO 5G</t>
  </si>
  <si>
    <t xml:space="preserve">CHOCOLATE BRANCO MOUSSE DE LIMAO-SICILIANO 42 </t>
  </si>
  <si>
    <t xml:space="preserve">CHOCOLATE BRANCO ROSAS COM FLORES HIBISCO 44 </t>
  </si>
  <si>
    <t xml:space="preserve">CHOCOLATE BRANCO VEGANO JASMIM COM LEITE 42 </t>
  </si>
  <si>
    <t>CHOCOLATE CANELA COM CAFE 60 80G</t>
  </si>
  <si>
    <t>CHOCOLATE GOLDEN CHAI 42 80G</t>
  </si>
  <si>
    <t>CHOCOLATE GOLDEN CHAI 5G</t>
  </si>
  <si>
    <t>CHOCOLATE LAVANDA FINA BULGARIA E AMENDOAS 5G</t>
  </si>
  <si>
    <t>CHOCOLATE MOUSSE DE LIMAO 5G</t>
  </si>
  <si>
    <t>CHOCOLATE PIMENTA MALAGUETA COM FIGO 50 80G</t>
  </si>
  <si>
    <t>CHOCOLATE VEGANO CACAU 70 80G</t>
  </si>
  <si>
    <t xml:space="preserve">CHOCOLATE VEGANO CONHAQUE COM UVA PASSAS 53 </t>
  </si>
  <si>
    <t>CHOCOLATE VEGANO HORTELA FONTE DE OMEGA 3 5G</t>
  </si>
  <si>
    <t xml:space="preserve">CHOCOLATE VEGANO HORTELA FONTE DE OMEGA 3 60 </t>
  </si>
  <si>
    <t xml:space="preserve">CHOCOLATE VEGANO LAVANDA COM AMENDOAS 56 </t>
  </si>
  <si>
    <t xml:space="preserve">CHOCOLATE VEGANO PATCHOULI COM TAMARAS 50 </t>
  </si>
  <si>
    <t>EXTRATO QE ALECRIM 10ML</t>
  </si>
  <si>
    <t>EXTRATO QE ALECRIM-DO-CAMPO 10ML</t>
  </si>
  <si>
    <t>EXTRATO QE CAPIM-LIMÃO 10ML</t>
  </si>
  <si>
    <t>EXTRATO QE CIPRESTE-HINOKI 10ML</t>
  </si>
  <si>
    <t>EXTRATO QE COPAIBA 10ML</t>
  </si>
  <si>
    <t>EXTRATO QE ERVA-BALEEIRA 10ML</t>
  </si>
  <si>
    <t>EXTRATO QE EUCALIPTO 10ML</t>
  </si>
  <si>
    <t>EXTRATO QE FUNCHO-DOCE 10ML</t>
  </si>
  <si>
    <t>EXTRATO QE GERANIO 10ML</t>
  </si>
  <si>
    <t>EXTRATO QE HORTELA-PIMENTA 10ML</t>
  </si>
  <si>
    <t>EXTRATO QE LARANJA-AMARGA 10ML</t>
  </si>
  <si>
    <t>EXTRATO QE LAVANDA 10ML</t>
  </si>
  <si>
    <t>EXTRATO QE LAVANDA-DENTADA 10ML</t>
  </si>
  <si>
    <t>EXTRATO QE LIMAO-SICILIANO 10ML</t>
  </si>
  <si>
    <t>EXTRATO QE MANJERICAO 10ML</t>
  </si>
  <si>
    <t>EXTRATO QE MELALEUCA 10ML</t>
  </si>
  <si>
    <t>EXTRATO QE OREGANO 10ML</t>
  </si>
  <si>
    <t>EXTRATO QE PINHEIRO 10ML</t>
  </si>
  <si>
    <t>EXTRATO QE SALVIA 10ML</t>
  </si>
  <si>
    <t>DOMME MOTOR v3 — PARÂMETROS GLOBAIS</t>
  </si>
  <si>
    <t>MARGENS E TAXAS</t>
  </si>
  <si>
    <t>Tier 1 — Markup (≤500 un/lote)</t>
  </si>
  <si>
    <t>Tier 2 — Markup (501-2000 un/lote)</t>
  </si>
  <si>
    <t>Tier 3 — Markup (&gt;2000 un/lote)</t>
  </si>
  <si>
    <t>Desconto kit</t>
  </si>
  <si>
    <t>Embalagem kit (R$)</t>
  </si>
  <si>
    <t>FEES DOMME</t>
  </si>
  <si>
    <t>Fee Estruturação (fixo)</t>
  </si>
  <si>
    <t>ESCALA v3</t>
  </si>
  <si>
    <t>Limite lote fator 2x</t>
  </si>
  <si>
    <t>Fator escala pequeno</t>
  </si>
  <si>
    <t>TRAVA LASZLO</t>
  </si>
  <si>
    <t>MC mínima atacado</t>
  </si>
  <si>
    <t>VIABILIDADE</t>
  </si>
  <si>
    <t>IV máximo (PFC/Varejo)</t>
  </si>
  <si>
    <t>EXPORTAÇÃO</t>
  </si>
  <si>
    <t>Markup internacional OEs</t>
  </si>
  <si>
    <t>ROI CONSERVADOR</t>
  </si>
  <si>
    <t>Desc. impostos+frete</t>
  </si>
  <si>
    <t>DOMME MOTOR v3 — REGRAS DE NEGÓCIO</t>
  </si>
  <si>
    <t>1. INTELIGÊNCIA DE CUSTOS</t>
  </si>
  <si>
    <t>CVU puxado da aba "Catálogo Laszlo" (Preço Custo Real da fábrica)</t>
  </si>
  <si>
    <t>Lotes ≤100un: insumos de envase (frasco/tampa/gotejador) multiplicados por 2x</t>
  </si>
  <si>
    <t>Trava: Laszlo mantém mínimo 20% MC no atacado — alerta automático se violado</t>
  </si>
  <si>
    <t>SKUs em "Check_Retirada" bloqueiam o cálculo com alerta visual ⛔</t>
  </si>
  <si>
    <t>2. ESTRUTURA v3</t>
  </si>
  <si>
    <t>Volume = por Lote/Pedido (não mais anual)</t>
  </si>
  <si>
    <t>Full-Service obrigatório: Kit Envase + Fee DOMME R$1.500 fixo</t>
  </si>
  <si>
    <t>Fee rateado por unidade: R$1.500 ÷ qtd do lote</t>
  </si>
  <si>
    <t>Tiers por lote: T1≤500 (+20%) | T2≤2000 (+10%) | T3&gt;2000 (0%)</t>
  </si>
  <si>
    <t>3. MÉTRICAS DE SUCESSO</t>
  </si>
  <si>
    <t>IV = PFC ÷ Varejo Laszlo — Verde (&lt;0.55) / Amarelo (0.55-0.70) / Vermelho (&gt;0.70)</t>
  </si>
  <si>
    <t>Benchmark vs. Ticket Médio Vendas Laszlo — Alerta se preço &gt; 120%</t>
  </si>
  <si>
    <t>Break-Even = Investimento Total ÷ Margem Líquida por unidade</t>
  </si>
  <si>
    <t>ROI Conservador: desconta 15% do preço de venda (impostos + frete)</t>
  </si>
  <si>
    <t>Nota: Em marketplaces (ML, Shopee), taxas podem chegar a 18-22%</t>
  </si>
  <si>
    <t>4. EXPORTAÇÃO</t>
  </si>
  <si>
    <t>Markup 8x sobre CVU para óleos essenciais</t>
  </si>
  <si>
    <t>Remove IPI/ICMS internos + campo frete internacional</t>
  </si>
  <si>
    <t>Conversão USD/EUR com cotação editável</t>
  </si>
  <si>
    <t>5. DESIGN &amp; COMPLIANCE</t>
  </si>
  <si>
    <t>Verso técnico/legal: imutável (compliance regulatório)</t>
  </si>
  <si>
    <t>Design exclusivo: serviço à parte (não incluído no fee)</t>
  </si>
  <si>
    <t>Foco regulatório: Aromas Naturais / Alimentos para rapidez de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</si>
</sst>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.00"/>
    <numFmt numFmtId="166" formatCode="\€#,##0.00"/>
    <numFmt numFmtId="167" formatCode="&quot;R$ &quot;#,##0.00"/>
  </numFmts>
  <fonts count="26" x14ac:knownFonts="1">
    <font>
      <sz val="11"/>
      <color theme="1"/>
      <name val="Calibri"/>
      <family val="2"/>
      <charset val="1"/>
    </font>
    <font>
      <b/>
      <sz val="22"/>
      <color rgb="FF2C3E50"/>
      <name val="Arial"/>
      <charset val="1"/>
    </font>
    <font>
      <sz val="12"/>
      <color rgb="FF7F8C8D"/>
      <name val="Arial"/>
      <charset val="1"/>
    </font>
    <font>
      <b/>
      <sz val="11"/>
      <color rgb="FF2C3E50"/>
      <name val="Arial"/>
      <charset val="1"/>
    </font>
    <font>
      <b/>
      <sz val="10"/>
      <color rgb="FF2C3E50"/>
      <name val="Arial"/>
      <charset val="1"/>
    </font>
    <font>
      <b/>
      <sz val="12"/>
      <color rgb="FF2980B9"/>
      <name val="Arial"/>
      <charset val="1"/>
    </font>
    <font>
      <b/>
      <sz val="10"/>
      <color rgb="FF2980B9"/>
      <name val="Arial"/>
      <charset val="1"/>
    </font>
    <font>
      <sz val="10"/>
      <name val="Arial"/>
      <charset val="1"/>
    </font>
    <font>
      <sz val="9"/>
      <color rgb="FF7F8C8D"/>
      <name val="Arial"/>
      <charset val="1"/>
    </font>
    <font>
      <b/>
      <sz val="16"/>
      <color rgb="FF2C3E50"/>
      <name val="Arial"/>
      <charset val="1"/>
    </font>
    <font>
      <i/>
      <sz val="10"/>
      <color rgb="FF7F8C8D"/>
      <name val="Arial"/>
      <charset val="1"/>
    </font>
    <font>
      <b/>
      <sz val="11"/>
      <color rgb="FF0000FF"/>
      <name val="Arial"/>
      <charset val="1"/>
    </font>
    <font>
      <i/>
      <sz val="9"/>
      <color rgb="FF7F8C8D"/>
      <name val="Arial"/>
      <charset val="1"/>
    </font>
    <font>
      <b/>
      <sz val="11"/>
      <color rgb="FF000000"/>
      <name val="Arial"/>
      <charset val="1"/>
    </font>
    <font>
      <b/>
      <sz val="14"/>
      <color rgb="FF2C3E50"/>
      <name val="Arial"/>
      <charset val="1"/>
    </font>
    <font>
      <b/>
      <sz val="11"/>
      <color rgb="FF2980B9"/>
      <name val="Arial"/>
      <charset val="1"/>
    </font>
    <font>
      <b/>
      <sz val="10"/>
      <color rgb="FFFFFFFF"/>
      <name val="Arial"/>
      <charset val="1"/>
    </font>
    <font>
      <b/>
      <sz val="18"/>
      <color rgb="FF2C3E50"/>
      <name val="Arial"/>
      <charset val="1"/>
    </font>
    <font>
      <i/>
      <sz val="12"/>
      <color rgb="FF7F8C8D"/>
      <name val="Arial"/>
      <charset val="1"/>
    </font>
    <font>
      <sz val="11"/>
      <color rgb="FFD5D8DC"/>
      <name val="Cambria"/>
      <charset val="1"/>
    </font>
    <font>
      <b/>
      <sz val="14"/>
      <color rgb="FF27AE60"/>
      <name val="Arial"/>
      <charset val="1"/>
    </font>
    <font>
      <b/>
      <sz val="11"/>
      <color rgb="FF27AE60"/>
      <name val="Arial"/>
      <charset val="1"/>
    </font>
    <font>
      <b/>
      <sz val="11"/>
      <color rgb="FFF39C12"/>
      <name val="Arial"/>
      <charset val="1"/>
    </font>
    <font>
      <b/>
      <sz val="11"/>
      <color rgb="FFE74C3C"/>
      <name val="Arial"/>
      <charset val="1"/>
    </font>
    <font>
      <b/>
      <sz val="10"/>
      <name val="Arial"/>
      <charset val="1"/>
    </font>
    <font>
      <sz val="10"/>
      <color rgb="FF2C3E50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EAFAF1"/>
        <bgColor rgb="FFEBF5FB"/>
      </patternFill>
    </fill>
    <fill>
      <patternFill patternType="solid">
        <fgColor rgb="FFEBF5FB"/>
        <bgColor rgb="FFEAFAF1"/>
      </patternFill>
    </fill>
    <fill>
      <patternFill patternType="solid">
        <fgColor rgb="FFFEF9E7"/>
        <bgColor rgb="FFFFFFFF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  <fill>
      <patternFill patternType="solid">
        <fgColor rgb="FFFDEBD0"/>
        <bgColor rgb="FFFDEDEC"/>
      </patternFill>
    </fill>
    <fill>
      <patternFill patternType="solid">
        <fgColor rgb="FFE8DAEF"/>
        <bgColor rgb="FFD5D8DC"/>
      </patternFill>
    </fill>
    <fill>
      <patternFill patternType="solid">
        <fgColor rgb="FFF5EEF8"/>
        <bgColor rgb="FFFDEDEC"/>
      </patternFill>
    </fill>
    <fill>
      <patternFill patternType="solid">
        <fgColor rgb="FFFADBD8"/>
        <bgColor rgb="FFE8DAEF"/>
      </patternFill>
    </fill>
    <fill>
      <patternFill patternType="solid">
        <fgColor rgb="FF2C3E50"/>
        <bgColor rgb="FF333399"/>
      </patternFill>
    </fill>
    <fill>
      <patternFill patternType="solid">
        <fgColor rgb="FF2980B9"/>
        <bgColor rgb="FF008080"/>
      </patternFill>
    </fill>
    <fill>
      <patternFill patternType="solid">
        <fgColor rgb="FFE74C3C"/>
        <bgColor rgb="FFE67E22"/>
      </patternFill>
    </fill>
    <fill>
      <patternFill patternType="solid">
        <fgColor rgb="FFFDEDEC"/>
        <bgColor rgb="FFF5EEF8"/>
      </patternFill>
    </fill>
    <fill>
      <patternFill patternType="solid">
        <fgColor rgb="FFEAECEE"/>
        <bgColor rgb="FFF5EEF8"/>
      </patternFill>
    </fill>
  </fills>
  <borders count="4">
    <border>
      <left/>
      <right/>
      <top/>
      <bottom/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medium">
        <color rgb="FF2C3E50"/>
      </left>
      <right style="medium">
        <color rgb="FF2C3E50"/>
      </right>
      <top style="medium">
        <color rgb="FF2C3E50"/>
      </top>
      <bottom style="medium">
        <color rgb="FF2C3E5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9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/>
    <xf numFmtId="0" fontId="3" fillId="4" borderId="1" xfId="0" applyFont="1" applyFill="1" applyBorder="1" applyAlignment="1">
      <alignment vertical="center"/>
    </xf>
    <xf numFmtId="0" fontId="7" fillId="0" borderId="2" xfId="0" applyFont="1" applyBorder="1"/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0" fontId="6" fillId="0" borderId="2" xfId="0" applyFont="1" applyBorder="1"/>
    <xf numFmtId="0" fontId="7" fillId="0" borderId="2" xfId="0" applyFont="1" applyBorder="1"/>
    <xf numFmtId="0" fontId="4" fillId="0" borderId="2" xfId="0" applyFont="1" applyBorder="1" applyAlignment="1">
      <alignment vertical="center" wrapText="1"/>
    </xf>
    <xf numFmtId="0" fontId="11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4" fontId="13" fillId="0" borderId="3" xfId="0" applyNumberFormat="1" applyFont="1" applyBorder="1" applyAlignment="1">
      <alignment horizontal="center" vertical="center"/>
    </xf>
    <xf numFmtId="1" fontId="13" fillId="0" borderId="3" xfId="0" applyNumberFormat="1" applyFont="1" applyBorder="1" applyAlignment="1">
      <alignment horizontal="center" vertical="center"/>
    </xf>
    <xf numFmtId="4" fontId="11" fillId="3" borderId="3" xfId="0" applyNumberFormat="1" applyFont="1" applyFill="1" applyBorder="1" applyAlignment="1">
      <alignment horizontal="center" vertical="center"/>
    </xf>
    <xf numFmtId="164" fontId="11" fillId="3" borderId="3" xfId="0" applyNumberFormat="1" applyFont="1" applyFill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 vertical="center"/>
    </xf>
    <xf numFmtId="3" fontId="13" fillId="0" borderId="3" xfId="0" applyNumberFormat="1" applyFont="1" applyBorder="1" applyAlignment="1">
      <alignment horizontal="center" vertical="center"/>
    </xf>
    <xf numFmtId="0" fontId="4" fillId="0" borderId="0" xfId="0" applyFont="1"/>
    <xf numFmtId="0" fontId="15" fillId="0" borderId="0" xfId="0" applyFont="1"/>
    <xf numFmtId="0" fontId="16" fillId="11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4" fontId="7" fillId="0" borderId="2" xfId="0" applyNumberFormat="1" applyFont="1" applyBorder="1" applyAlignment="1">
      <alignment horizontal="center"/>
    </xf>
    <xf numFmtId="165" fontId="13" fillId="0" borderId="3" xfId="0" applyNumberFormat="1" applyFont="1" applyBorder="1" applyAlignment="1">
      <alignment horizontal="center" vertical="center"/>
    </xf>
    <xf numFmtId="166" fontId="13" fillId="0" borderId="3" xfId="0" applyNumberFormat="1" applyFont="1" applyBorder="1" applyAlignment="1">
      <alignment horizontal="center" vertical="center"/>
    </xf>
    <xf numFmtId="167" fontId="13" fillId="0" borderId="3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4" fontId="20" fillId="0" borderId="3" xfId="0" applyNumberFormat="1" applyFont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 wrapText="1"/>
    </xf>
    <xf numFmtId="4" fontId="7" fillId="0" borderId="2" xfId="0" applyNumberFormat="1" applyFont="1" applyBorder="1"/>
    <xf numFmtId="164" fontId="7" fillId="0" borderId="2" xfId="0" applyNumberFormat="1" applyFont="1" applyBorder="1"/>
    <xf numFmtId="0" fontId="21" fillId="2" borderId="2" xfId="0" applyFont="1" applyFill="1" applyBorder="1"/>
    <xf numFmtId="0" fontId="22" fillId="4" borderId="2" xfId="0" applyFont="1" applyFill="1" applyBorder="1"/>
    <xf numFmtId="0" fontId="16" fillId="13" borderId="2" xfId="0" applyFont="1" applyFill="1" applyBorder="1" applyAlignment="1">
      <alignment horizontal="center" vertical="center" wrapText="1"/>
    </xf>
    <xf numFmtId="0" fontId="23" fillId="14" borderId="2" xfId="0" applyFont="1" applyFill="1" applyBorder="1"/>
    <xf numFmtId="0" fontId="14" fillId="0" borderId="0" xfId="0" applyFont="1"/>
    <xf numFmtId="0" fontId="3" fillId="15" borderId="2" xfId="0" applyFont="1" applyFill="1" applyBorder="1"/>
    <xf numFmtId="0" fontId="0" fillId="15" borderId="2" xfId="0" applyFill="1" applyBorder="1"/>
    <xf numFmtId="0" fontId="24" fillId="0" borderId="2" xfId="0" applyFont="1" applyBorder="1"/>
    <xf numFmtId="164" fontId="11" fillId="3" borderId="2" xfId="0" applyNumberFormat="1" applyFont="1" applyFill="1" applyBorder="1"/>
    <xf numFmtId="0" fontId="11" fillId="3" borderId="2" xfId="0" applyFont="1" applyFill="1" applyBorder="1"/>
    <xf numFmtId="0" fontId="0" fillId="0" borderId="2" xfId="0" applyBorder="1"/>
    <xf numFmtId="0" fontId="25" fillId="0" borderId="0" xfId="0" applyFont="1"/>
    <xf numFmtId="0" fontId="3" fillId="0" borderId="0" xfId="0" applyFont="1"/>
    <xf numFmtId="0" fontId="3" fillId="10" borderId="1" xfId="0" applyFont="1" applyFill="1" applyBorder="1" applyAlignment="1">
      <alignment vertical="center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4" fillId="0" borderId="0" xfId="0" applyFont="1"/>
  </cellXfs>
  <cellStyles count="1">
    <cellStyle name="Normal" xfId="0" builtinId="0"/>
  </cellStyles>
  <dxfs count="9">
    <dxf>
      <font>
        <b/>
        <color rgb="FFE74C3C"/>
        <name val="Arial"/>
        <charset val="1"/>
      </font>
      <fill>
        <patternFill>
          <bgColor rgb="FFFDEDEC"/>
        </patternFill>
      </fill>
    </dxf>
    <dxf>
      <font>
        <b/>
        <color rgb="FFF39C12"/>
        <name val="Arial"/>
        <charset val="1"/>
      </font>
      <fill>
        <patternFill>
          <bgColor rgb="FFFEF9E7"/>
        </patternFill>
      </fill>
    </dxf>
    <dxf>
      <font>
        <b/>
        <color rgb="FF27AE60"/>
        <name val="Arial"/>
        <charset val="1"/>
      </font>
      <fill>
        <patternFill>
          <bgColor rgb="FFEAFAF1"/>
        </patternFill>
      </fill>
    </dxf>
    <dxf>
      <font>
        <b/>
        <color rgb="FF27AE60"/>
        <name val="Arial"/>
        <charset val="1"/>
      </font>
      <fill>
        <patternFill>
          <bgColor rgb="FFEAFAF1"/>
        </patternFill>
      </fill>
    </dxf>
    <dxf>
      <font>
        <b/>
        <color rgb="FFF39C12"/>
        <name val="Arial"/>
        <charset val="1"/>
      </font>
      <fill>
        <patternFill>
          <bgColor rgb="FFFEF9E7"/>
        </patternFill>
      </fill>
    </dxf>
    <dxf>
      <font>
        <b/>
        <color rgb="FFE74C3C"/>
        <name val="Arial"/>
        <charset val="1"/>
      </font>
      <fill>
        <patternFill>
          <bgColor rgb="FFFDEDEC"/>
        </patternFill>
      </fill>
    </dxf>
    <dxf>
      <font>
        <b/>
        <color rgb="FFE74C3C"/>
        <name val="Arial"/>
        <charset val="1"/>
      </font>
      <fill>
        <patternFill>
          <bgColor rgb="FFFDEDEC"/>
        </patternFill>
      </fill>
    </dxf>
    <dxf>
      <font>
        <b/>
        <color rgb="FFF39C12"/>
        <name val="Arial"/>
        <charset val="1"/>
      </font>
      <fill>
        <patternFill>
          <bgColor rgb="FFFEF9E7"/>
        </patternFill>
      </fill>
    </dxf>
    <dxf>
      <font>
        <b/>
        <color rgb="FF27AE60"/>
        <name val="Arial"/>
        <charset val="1"/>
      </font>
      <fill>
        <patternFill>
          <bgColor rgb="FFEAFAF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E8DAEF"/>
      <rgbColor rgb="FF7F8C8D"/>
      <rgbColor rgb="FFEBF5FB"/>
      <rgbColor rgb="FF8E44AD"/>
      <rgbColor rgb="FFFEF9E7"/>
      <rgbColor rgb="FFD6EAF8"/>
      <rgbColor rgb="FF660066"/>
      <rgbColor rgb="FFE74C3C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D5F5E3"/>
      <rgbColor rgb="FFFDEBD0"/>
      <rgbColor rgb="FFEAECEE"/>
      <rgbColor rgb="FFFDEDEC"/>
      <rgbColor rgb="FFF5EEF8"/>
      <rgbColor rgb="FFFADBD8"/>
      <rgbColor rgb="FF3366FF"/>
      <rgbColor rgb="FF1ABC9C"/>
      <rgbColor rgb="FF99CC00"/>
      <rgbColor rgb="FFFFCC00"/>
      <rgbColor rgb="FFF39C12"/>
      <rgbColor rgb="FFE67E22"/>
      <rgbColor rgb="FF666699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AE60"/>
  </sheetPr>
  <dimension ref="A1:G28"/>
  <sheetViews>
    <sheetView zoomScaleNormal="100" workbookViewId="0"/>
  </sheetViews>
  <sheetFormatPr defaultColWidth="8.6640625" defaultRowHeight="14.4" x14ac:dyDescent="0.3"/>
  <cols>
    <col min="1" max="1" width="38" customWidth="1"/>
    <col min="2" max="2" width="18" customWidth="1"/>
    <col min="3" max="7" width="12" customWidth="1"/>
  </cols>
  <sheetData>
    <row r="1" spans="1:7" ht="28.2" x14ac:dyDescent="0.5">
      <c r="A1" s="14" t="s">
        <v>0</v>
      </c>
      <c r="B1" s="14"/>
      <c r="C1" s="14"/>
      <c r="D1" s="14"/>
      <c r="E1" s="14"/>
      <c r="F1" s="14"/>
      <c r="G1" s="14"/>
    </row>
    <row r="2" spans="1:7" ht="15.6" x14ac:dyDescent="0.3">
      <c r="A2" s="13" t="s">
        <v>1</v>
      </c>
      <c r="B2" s="13"/>
      <c r="C2" s="13"/>
      <c r="D2" s="13"/>
      <c r="E2" s="13"/>
      <c r="F2" s="13"/>
      <c r="G2" s="13"/>
    </row>
    <row r="4" spans="1:7" x14ac:dyDescent="0.3">
      <c r="A4" s="12" t="s">
        <v>2</v>
      </c>
      <c r="B4" s="12"/>
      <c r="C4" s="12"/>
      <c r="D4" s="12"/>
      <c r="E4" s="12"/>
      <c r="F4" s="12"/>
      <c r="G4" s="12"/>
    </row>
    <row r="5" spans="1:7" ht="15.6" x14ac:dyDescent="0.3">
      <c r="A5" s="15" t="s">
        <v>3</v>
      </c>
      <c r="B5" s="16">
        <v>589</v>
      </c>
    </row>
    <row r="6" spans="1:7" ht="15.6" x14ac:dyDescent="0.3">
      <c r="A6" s="15" t="s">
        <v>4</v>
      </c>
      <c r="B6" s="16">
        <v>491</v>
      </c>
    </row>
    <row r="7" spans="1:7" ht="15.6" x14ac:dyDescent="0.3">
      <c r="A7" s="15" t="s">
        <v>5</v>
      </c>
      <c r="B7" s="16">
        <v>98</v>
      </c>
    </row>
    <row r="8" spans="1:7" ht="15.6" x14ac:dyDescent="0.3">
      <c r="A8" s="15" t="s">
        <v>6</v>
      </c>
      <c r="B8" s="16">
        <v>0</v>
      </c>
    </row>
    <row r="9" spans="1:7" ht="15.6" x14ac:dyDescent="0.3">
      <c r="A9" s="15" t="s">
        <v>7</v>
      </c>
      <c r="B9" s="16">
        <v>2583</v>
      </c>
    </row>
    <row r="10" spans="1:7" ht="15.6" x14ac:dyDescent="0.3">
      <c r="A10" s="15" t="s">
        <v>8</v>
      </c>
      <c r="B10" s="17">
        <v>58</v>
      </c>
    </row>
    <row r="11" spans="1:7" ht="15.6" x14ac:dyDescent="0.3">
      <c r="A11" s="15" t="s">
        <v>9</v>
      </c>
      <c r="B11" s="17">
        <v>1500</v>
      </c>
    </row>
    <row r="13" spans="1:7" x14ac:dyDescent="0.3">
      <c r="A13" s="11" t="s">
        <v>10</v>
      </c>
      <c r="B13" s="11"/>
      <c r="C13" s="11"/>
      <c r="D13" s="11"/>
      <c r="E13" s="11"/>
      <c r="F13" s="11"/>
      <c r="G13" s="11"/>
    </row>
    <row r="14" spans="1:7" x14ac:dyDescent="0.3">
      <c r="A14" s="18" t="s">
        <v>11</v>
      </c>
      <c r="B14" s="10" t="s">
        <v>12</v>
      </c>
      <c r="C14" s="10"/>
      <c r="D14" s="10"/>
      <c r="E14" s="10"/>
      <c r="F14" s="10"/>
      <c r="G14" s="10"/>
    </row>
    <row r="15" spans="1:7" x14ac:dyDescent="0.3">
      <c r="A15" s="18" t="s">
        <v>13</v>
      </c>
      <c r="B15" s="10" t="s">
        <v>14</v>
      </c>
      <c r="C15" s="10"/>
      <c r="D15" s="10"/>
      <c r="E15" s="10"/>
      <c r="F15" s="10"/>
      <c r="G15" s="10"/>
    </row>
    <row r="16" spans="1:7" x14ac:dyDescent="0.3">
      <c r="A16" s="18" t="s">
        <v>15</v>
      </c>
      <c r="B16" s="10" t="s">
        <v>16</v>
      </c>
      <c r="C16" s="10"/>
      <c r="D16" s="10"/>
      <c r="E16" s="10"/>
      <c r="F16" s="10"/>
      <c r="G16" s="10"/>
    </row>
    <row r="17" spans="1:7" x14ac:dyDescent="0.3">
      <c r="A17" s="18" t="s">
        <v>17</v>
      </c>
      <c r="B17" s="10" t="s">
        <v>18</v>
      </c>
      <c r="C17" s="10"/>
      <c r="D17" s="10"/>
      <c r="E17" s="10"/>
      <c r="F17" s="10"/>
      <c r="G17" s="10"/>
    </row>
    <row r="18" spans="1:7" x14ac:dyDescent="0.3">
      <c r="A18" s="18" t="s">
        <v>19</v>
      </c>
      <c r="B18" s="10" t="s">
        <v>20</v>
      </c>
      <c r="C18" s="10"/>
      <c r="D18" s="10"/>
      <c r="E18" s="10"/>
      <c r="F18" s="10"/>
      <c r="G18" s="10"/>
    </row>
    <row r="19" spans="1:7" x14ac:dyDescent="0.3">
      <c r="A19" s="18" t="s">
        <v>21</v>
      </c>
      <c r="B19" s="10" t="s">
        <v>22</v>
      </c>
      <c r="C19" s="10"/>
      <c r="D19" s="10"/>
      <c r="E19" s="10"/>
      <c r="F19" s="10"/>
      <c r="G19" s="10"/>
    </row>
    <row r="20" spans="1:7" x14ac:dyDescent="0.3">
      <c r="A20" s="18" t="s">
        <v>23</v>
      </c>
      <c r="B20" s="10" t="s">
        <v>24</v>
      </c>
      <c r="C20" s="10"/>
      <c r="D20" s="10"/>
      <c r="E20" s="10"/>
      <c r="F20" s="10"/>
      <c r="G20" s="10"/>
    </row>
    <row r="21" spans="1:7" x14ac:dyDescent="0.3">
      <c r="A21" s="18" t="s">
        <v>25</v>
      </c>
      <c r="B21" s="10" t="s">
        <v>26</v>
      </c>
      <c r="C21" s="10"/>
      <c r="D21" s="10"/>
      <c r="E21" s="10"/>
      <c r="F21" s="10"/>
      <c r="G21" s="10"/>
    </row>
    <row r="22" spans="1:7" x14ac:dyDescent="0.3">
      <c r="A22" s="18" t="s">
        <v>27</v>
      </c>
      <c r="B22" s="10" t="s">
        <v>28</v>
      </c>
      <c r="C22" s="10"/>
      <c r="D22" s="10"/>
      <c r="E22" s="10"/>
      <c r="F22" s="10"/>
      <c r="G22" s="10"/>
    </row>
    <row r="24" spans="1:7" x14ac:dyDescent="0.3">
      <c r="A24" s="9" t="s">
        <v>29</v>
      </c>
      <c r="B24" s="9"/>
      <c r="C24" s="9"/>
      <c r="D24" s="9"/>
      <c r="E24" s="9"/>
      <c r="F24" s="9"/>
      <c r="G24" s="9"/>
    </row>
    <row r="25" spans="1:7" x14ac:dyDescent="0.3">
      <c r="A25" s="8" t="s">
        <v>30</v>
      </c>
      <c r="B25" s="8"/>
      <c r="C25" s="8"/>
      <c r="D25" s="8"/>
      <c r="E25" s="8"/>
      <c r="F25" s="8"/>
      <c r="G25" s="8"/>
    </row>
    <row r="26" spans="1:7" x14ac:dyDescent="0.3">
      <c r="A26" s="8" t="s">
        <v>31</v>
      </c>
      <c r="B26" s="8"/>
      <c r="C26" s="8"/>
      <c r="D26" s="8"/>
      <c r="E26" s="8"/>
      <c r="F26" s="8"/>
      <c r="G26" s="8"/>
    </row>
    <row r="27" spans="1:7" x14ac:dyDescent="0.3">
      <c r="A27" s="8" t="s">
        <v>32</v>
      </c>
      <c r="B27" s="8"/>
      <c r="C27" s="8"/>
      <c r="D27" s="8"/>
      <c r="E27" s="8"/>
      <c r="F27" s="8"/>
      <c r="G27" s="8"/>
    </row>
    <row r="28" spans="1:7" x14ac:dyDescent="0.3">
      <c r="A28" s="8" t="s">
        <v>33</v>
      </c>
      <c r="B28" s="8"/>
      <c r="C28" s="8"/>
      <c r="D28" s="8"/>
      <c r="E28" s="8"/>
      <c r="F28" s="8"/>
      <c r="G28" s="8"/>
    </row>
  </sheetData>
  <mergeCells count="18">
    <mergeCell ref="A26:G26"/>
    <mergeCell ref="A27:G27"/>
    <mergeCell ref="A28:G28"/>
    <mergeCell ref="B20:G20"/>
    <mergeCell ref="B21:G21"/>
    <mergeCell ref="B22:G22"/>
    <mergeCell ref="A24:G24"/>
    <mergeCell ref="A25:G25"/>
    <mergeCell ref="B15:G15"/>
    <mergeCell ref="B16:G16"/>
    <mergeCell ref="B17:G17"/>
    <mergeCell ref="B18:G18"/>
    <mergeCell ref="B19:G19"/>
    <mergeCell ref="A1:G1"/>
    <mergeCell ref="A2:G2"/>
    <mergeCell ref="A4:G4"/>
    <mergeCell ref="A13:G13"/>
    <mergeCell ref="B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AE60"/>
  </sheetPr>
  <dimension ref="A1:D58"/>
  <sheetViews>
    <sheetView tabSelected="1" zoomScaleNormal="100" workbookViewId="0">
      <selection sqref="A1:D1"/>
    </sheetView>
  </sheetViews>
  <sheetFormatPr defaultColWidth="8.6640625" defaultRowHeight="14.4" x14ac:dyDescent="0.3"/>
  <cols>
    <col min="1" max="1" width="45" customWidth="1"/>
    <col min="2" max="2" width="35" customWidth="1"/>
    <col min="3" max="3" width="45" customWidth="1"/>
    <col min="4" max="4" width="5" customWidth="1"/>
  </cols>
  <sheetData>
    <row r="1" spans="1:4" ht="21" x14ac:dyDescent="0.4">
      <c r="A1" s="7" t="s">
        <v>34</v>
      </c>
      <c r="B1" s="7"/>
      <c r="C1" s="7"/>
      <c r="D1" s="7"/>
    </row>
    <row r="2" spans="1:4" x14ac:dyDescent="0.3">
      <c r="A2" s="6" t="s">
        <v>35</v>
      </c>
      <c r="B2" s="6"/>
      <c r="C2" s="6"/>
      <c r="D2" s="6"/>
    </row>
    <row r="4" spans="1:4" x14ac:dyDescent="0.3">
      <c r="A4" s="5" t="s">
        <v>36</v>
      </c>
      <c r="B4" s="5"/>
      <c r="C4" s="5"/>
      <c r="D4" s="5"/>
    </row>
    <row r="6" spans="1:4" x14ac:dyDescent="0.3">
      <c r="A6" s="20" t="s">
        <v>37</v>
      </c>
      <c r="B6" s="21" t="s">
        <v>38</v>
      </c>
      <c r="C6" s="22" t="s">
        <v>39</v>
      </c>
    </row>
    <row r="7" spans="1:4" x14ac:dyDescent="0.3">
      <c r="A7" s="20" t="s">
        <v>40</v>
      </c>
      <c r="B7" s="21">
        <v>200</v>
      </c>
      <c r="C7" s="22" t="s">
        <v>41</v>
      </c>
    </row>
    <row r="8" spans="1:4" x14ac:dyDescent="0.3">
      <c r="A8" s="20" t="s">
        <v>42</v>
      </c>
      <c r="B8" s="21"/>
      <c r="C8" s="22" t="s">
        <v>43</v>
      </c>
    </row>
    <row r="9" spans="1:4" x14ac:dyDescent="0.3">
      <c r="A9" s="20" t="s">
        <v>44</v>
      </c>
      <c r="B9" s="21" t="s">
        <v>45</v>
      </c>
      <c r="C9" s="22" t="s">
        <v>46</v>
      </c>
    </row>
    <row r="11" spans="1:4" x14ac:dyDescent="0.3">
      <c r="A11" s="4" t="s">
        <v>47</v>
      </c>
      <c r="B11" s="4"/>
      <c r="C11" s="4"/>
      <c r="D11" s="4"/>
    </row>
    <row r="13" spans="1:4" x14ac:dyDescent="0.3">
      <c r="A13" s="20" t="s">
        <v>48</v>
      </c>
      <c r="B13" s="23">
        <f>IFERROR(VLOOKUP(B6,'Catálogo Laszlo'!A:I,2,FALSE()),"—")</f>
        <v>1124</v>
      </c>
      <c r="C13" s="22" t="s">
        <v>49</v>
      </c>
    </row>
    <row r="14" spans="1:4" x14ac:dyDescent="0.3">
      <c r="A14" s="20" t="s">
        <v>50</v>
      </c>
      <c r="B14" s="23">
        <f>IFERROR(VLOOKUP(B6,'Catálogo Laszlo'!A:I,3,FALSE()),0)</f>
        <v>46.145535000000002</v>
      </c>
      <c r="C14" s="22" t="s">
        <v>51</v>
      </c>
    </row>
    <row r="15" spans="1:4" x14ac:dyDescent="0.3">
      <c r="A15" s="20" t="s">
        <v>52</v>
      </c>
      <c r="B15" s="23">
        <f>IFERROR(VLOOKUP(B6,'Catálogo Laszlo'!A:I,4,FALSE()),0)</f>
        <v>167.47941180000001</v>
      </c>
      <c r="C15" s="22" t="s">
        <v>53</v>
      </c>
    </row>
    <row r="16" spans="1:4" x14ac:dyDescent="0.3">
      <c r="A16" s="20" t="s">
        <v>54</v>
      </c>
      <c r="B16" s="24">
        <f>IFERROR(VLOOKUP(B6,'Catálogo Laszlo'!A:I,9,FALSE()),10)</f>
        <v>10</v>
      </c>
      <c r="C16" s="22" t="s">
        <v>55</v>
      </c>
    </row>
    <row r="17" spans="1:4" x14ac:dyDescent="0.3">
      <c r="A17" s="20" t="s">
        <v>56</v>
      </c>
      <c r="B17" s="23" t="str">
        <f>IFERROR(VLOOKUP(B6,'Catálogo Laszlo'!A:I,8,FALSE()),"—")</f>
        <v>✓ Disponível</v>
      </c>
      <c r="C17" s="22" t="s">
        <v>57</v>
      </c>
    </row>
    <row r="19" spans="1:4" x14ac:dyDescent="0.3">
      <c r="A19" s="3" t="s">
        <v>58</v>
      </c>
      <c r="B19" s="3"/>
      <c r="C19" s="3"/>
      <c r="D19" s="3"/>
    </row>
    <row r="21" spans="1:4" x14ac:dyDescent="0.3">
      <c r="A21" s="20" t="s">
        <v>59</v>
      </c>
      <c r="B21" s="25">
        <v>2.5</v>
      </c>
      <c r="C21" s="22" t="s">
        <v>60</v>
      </c>
    </row>
    <row r="22" spans="1:4" x14ac:dyDescent="0.3">
      <c r="A22" s="20" t="s">
        <v>61</v>
      </c>
      <c r="B22" s="24">
        <f>IF(B7&lt;=100,2,1)</f>
        <v>1</v>
      </c>
      <c r="C22" s="22" t="s">
        <v>62</v>
      </c>
    </row>
    <row r="23" spans="1:4" x14ac:dyDescent="0.3">
      <c r="A23" s="20" t="s">
        <v>63</v>
      </c>
      <c r="B23" s="23">
        <f>B21*B22</f>
        <v>2.5</v>
      </c>
      <c r="C23" s="22" t="s">
        <v>64</v>
      </c>
    </row>
    <row r="24" spans="1:4" x14ac:dyDescent="0.3">
      <c r="A24" s="20" t="s">
        <v>65</v>
      </c>
      <c r="B24" s="23">
        <f>B14+B23</f>
        <v>48.645535000000002</v>
      </c>
    </row>
    <row r="25" spans="1:4" x14ac:dyDescent="0.3">
      <c r="A25" s="20" t="s">
        <v>66</v>
      </c>
      <c r="B25" s="23">
        <f>IF(B7&gt;0,1500/B7,0)</f>
        <v>7.5</v>
      </c>
    </row>
    <row r="26" spans="1:4" x14ac:dyDescent="0.3">
      <c r="A26" s="20" t="s">
        <v>67</v>
      </c>
      <c r="B26" s="23">
        <f>B24+B25</f>
        <v>56.145535000000002</v>
      </c>
    </row>
    <row r="28" spans="1:4" x14ac:dyDescent="0.3">
      <c r="A28" s="2" t="s">
        <v>68</v>
      </c>
      <c r="B28" s="2"/>
      <c r="C28" s="2"/>
      <c r="D28" s="2"/>
    </row>
    <row r="30" spans="1:4" x14ac:dyDescent="0.3">
      <c r="A30" s="20" t="s">
        <v>69</v>
      </c>
      <c r="B30" s="26">
        <v>0.4</v>
      </c>
      <c r="C30" s="22" t="s">
        <v>70</v>
      </c>
    </row>
    <row r="31" spans="1:4" x14ac:dyDescent="0.3">
      <c r="A31" s="20" t="s">
        <v>71</v>
      </c>
      <c r="B31" s="23">
        <f>B24*(1+B30)</f>
        <v>68.103748999999993</v>
      </c>
    </row>
    <row r="32" spans="1:4" x14ac:dyDescent="0.3">
      <c r="A32" s="20" t="s">
        <v>72</v>
      </c>
      <c r="B32" s="26">
        <v>0.2</v>
      </c>
    </row>
    <row r="33" spans="1:4" x14ac:dyDescent="0.3">
      <c r="A33" s="20" t="s">
        <v>73</v>
      </c>
      <c r="B33" s="26">
        <v>0.03</v>
      </c>
    </row>
    <row r="34" spans="1:4" x14ac:dyDescent="0.3">
      <c r="A34" s="20" t="s">
        <v>74</v>
      </c>
      <c r="B34" s="27">
        <f>IF(B7&lt;=500,0.2,IF(B7&lt;=2000,0.1,0))</f>
        <v>0.2</v>
      </c>
      <c r="C34" s="22" t="s">
        <v>75</v>
      </c>
    </row>
    <row r="35" spans="1:4" x14ac:dyDescent="0.3">
      <c r="A35" s="20" t="s">
        <v>76</v>
      </c>
      <c r="B35" s="23" t="str">
        <f>IF(B7&lt;=500,"Tier 1 — Boutique",IF(B7&lt;=2000,"Tier 2 — Growth","Tier 3 — Scale"))</f>
        <v>Tier 1 — Boutique</v>
      </c>
    </row>
    <row r="36" spans="1:4" x14ac:dyDescent="0.3">
      <c r="A36" s="20" t="s">
        <v>77</v>
      </c>
      <c r="B36" s="23">
        <f>B31*(1+B32)*(1+B34)*(1+B33)</f>
        <v>101.01148051679998</v>
      </c>
      <c r="C36" s="22" t="s">
        <v>78</v>
      </c>
    </row>
    <row r="37" spans="1:4" x14ac:dyDescent="0.3">
      <c r="A37" s="20" t="s">
        <v>79</v>
      </c>
      <c r="B37" s="23">
        <f>IF(B9="Internacional",B24*8,B36)</f>
        <v>101.01148051679998</v>
      </c>
      <c r="C37" s="22" t="s">
        <v>80</v>
      </c>
    </row>
    <row r="38" spans="1:4" ht="17.399999999999999" x14ac:dyDescent="0.3">
      <c r="A38" s="20" t="s">
        <v>81</v>
      </c>
      <c r="B38" s="28">
        <f>IF(B9="Internacional",B37,B36)</f>
        <v>101.01148051679998</v>
      </c>
      <c r="C38" s="22" t="s">
        <v>82</v>
      </c>
    </row>
    <row r="40" spans="1:4" x14ac:dyDescent="0.3">
      <c r="A40" s="1" t="s">
        <v>83</v>
      </c>
      <c r="B40" s="1"/>
      <c r="C40" s="1"/>
      <c r="D40" s="1"/>
    </row>
    <row r="42" spans="1:4" x14ac:dyDescent="0.3">
      <c r="A42" s="20" t="s">
        <v>84</v>
      </c>
      <c r="B42" s="23">
        <f>IF(B8="",B15,B8)</f>
        <v>167.47941180000001</v>
      </c>
      <c r="C42" s="22" t="s">
        <v>85</v>
      </c>
    </row>
    <row r="43" spans="1:4" x14ac:dyDescent="0.3">
      <c r="A43" s="20" t="s">
        <v>86</v>
      </c>
      <c r="B43" s="29">
        <f>IF(B15&gt;0,B38/B15,"—")</f>
        <v>0.60312774824779969</v>
      </c>
      <c r="C43" s="22" t="s">
        <v>87</v>
      </c>
    </row>
    <row r="44" spans="1:4" x14ac:dyDescent="0.3">
      <c r="A44" s="20" t="s">
        <v>88</v>
      </c>
      <c r="B44" s="23" t="str">
        <f>IF(B43="—","Sem dados",IF(B43&lt;0.55,"✓ VIÁVEL — Proposta Saudável",IF(B43&lt;=0.7,"⚠ ATENÇÃO — Margem Apertada","✗ CRÍTICO — Rever Custos")))</f>
        <v>⚠ ATENÇÃO — Margem Apertada</v>
      </c>
    </row>
    <row r="45" spans="1:4" x14ac:dyDescent="0.3">
      <c r="A45" s="20" t="s">
        <v>89</v>
      </c>
      <c r="B45" s="23" t="str">
        <f>IF(B42&gt;B15*1.2,"⚠ Preço acima de 120% do benchmark","✓ Competitivo")</f>
        <v>✓ Competitivo</v>
      </c>
    </row>
    <row r="46" spans="1:4" x14ac:dyDescent="0.3">
      <c r="A46" s="20" t="s">
        <v>90</v>
      </c>
      <c r="B46" s="23">
        <f>B38*B7+1500</f>
        <v>21702.296103359997</v>
      </c>
      <c r="C46" s="22" t="s">
        <v>91</v>
      </c>
    </row>
    <row r="47" spans="1:4" x14ac:dyDescent="0.3">
      <c r="A47" s="20" t="s">
        <v>92</v>
      </c>
      <c r="B47" s="23">
        <f>B42*0.85</f>
        <v>142.35750003000001</v>
      </c>
    </row>
    <row r="48" spans="1:4" x14ac:dyDescent="0.3">
      <c r="A48" s="20" t="s">
        <v>93</v>
      </c>
      <c r="B48" s="23">
        <f>B47-B38</f>
        <v>41.346019513200034</v>
      </c>
    </row>
    <row r="49" spans="1:4" x14ac:dyDescent="0.3">
      <c r="A49" s="20" t="s">
        <v>94</v>
      </c>
      <c r="B49" s="30">
        <f>IF(B48&gt;0,ROUNDUP(B46/B48,0),"Inviável")</f>
        <v>525</v>
      </c>
      <c r="C49" s="22" t="s">
        <v>95</v>
      </c>
    </row>
    <row r="50" spans="1:4" x14ac:dyDescent="0.3">
      <c r="A50" s="20" t="s">
        <v>96</v>
      </c>
      <c r="B50" s="23">
        <f>IF(B48&gt;0,B48*B7,0)</f>
        <v>8269.2039026400071</v>
      </c>
    </row>
    <row r="51" spans="1:4" x14ac:dyDescent="0.3">
      <c r="A51" s="20" t="s">
        <v>97</v>
      </c>
      <c r="B51" s="27">
        <f>IF(B46&gt;0,B50/B46,0)</f>
        <v>0.38102898712914302</v>
      </c>
    </row>
    <row r="53" spans="1:4" x14ac:dyDescent="0.3">
      <c r="A53" s="58" t="s">
        <v>98</v>
      </c>
      <c r="B53" s="58"/>
      <c r="C53" s="58"/>
      <c r="D53" s="58"/>
    </row>
    <row r="55" spans="1:4" x14ac:dyDescent="0.3">
      <c r="A55" s="20" t="s">
        <v>99</v>
      </c>
      <c r="B55" s="23" t="str">
        <f>IF(ISNUMBER(SEARCH("Indisponível",B17)),"⛔ PRODUTO EM DESCONTINUAÇÃO — Cálculo bloqueado","✓ Produto ativo")</f>
        <v>✓ Produto ativo</v>
      </c>
    </row>
    <row r="56" spans="1:4" x14ac:dyDescent="0.3">
      <c r="A56" s="20" t="s">
        <v>100</v>
      </c>
      <c r="B56" s="23" t="str">
        <f>IF(B24&gt;0,IF((B31-B24)/B31&gt;=0.2,"✓ Margem Laszlo protegida ("&amp;TEXT((B31-B24)/B31,"0.0%")&amp;")","⚠ MARGEM ABAIXO DE 20% — Revisar MIL"),"—")</f>
        <v>✓ Margem Laszlo protegida (29%)</v>
      </c>
    </row>
    <row r="57" spans="1:4" x14ac:dyDescent="0.3">
      <c r="A57" s="20" t="s">
        <v>101</v>
      </c>
      <c r="B57" s="23" t="str">
        <f>IF(B22=2,"⚠ Fator 2x ativo — lote ≤100un","✓ Escala normal")</f>
        <v>✓ Escala normal</v>
      </c>
    </row>
    <row r="58" spans="1:4" x14ac:dyDescent="0.3">
      <c r="A58" s="20" t="s">
        <v>102</v>
      </c>
      <c r="B58" s="23" t="str">
        <f>B44</f>
        <v>⚠ ATENÇÃO — Margem Apertada</v>
      </c>
    </row>
  </sheetData>
  <mergeCells count="8">
    <mergeCell ref="A28:D28"/>
    <mergeCell ref="A40:D40"/>
    <mergeCell ref="A53:D53"/>
    <mergeCell ref="A1:D1"/>
    <mergeCell ref="A2:D2"/>
    <mergeCell ref="A4:D4"/>
    <mergeCell ref="A11:D11"/>
    <mergeCell ref="A19:D19"/>
  </mergeCells>
  <conditionalFormatting sqref="B43">
    <cfRule type="cellIs" dxfId="8" priority="2" operator="lessThan">
      <formula>0.55</formula>
    </cfRule>
    <cfRule type="cellIs" dxfId="7" priority="3" operator="between">
      <formula>0.55</formula>
      <formula>0.7</formula>
    </cfRule>
    <cfRule type="cellIs" dxfId="6" priority="4" operator="greaterThan">
      <formula>0.7</formula>
    </cfRule>
  </conditionalFormatting>
  <conditionalFormatting sqref="B55:B58">
    <cfRule type="expression" dxfId="5" priority="5">
      <formula>ISNUMBER(SEARCH("⛔",B55))</formula>
    </cfRule>
    <cfRule type="expression" dxfId="4" priority="6">
      <formula>ISNUMBER(SEARCH("⚠",B55))</formula>
    </cfRule>
    <cfRule type="expression" dxfId="3" priority="7">
      <formula>ISNUMBER(SEARCH("✓",B55))</formula>
    </cfRule>
  </conditionalFormatting>
  <dataValidations count="1">
    <dataValidation type="list" sqref="B9" xr:uid="{00000000-0002-0000-0100-000001000000}">
      <formula1>"Brasil,Internacional"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SKU inválido" error="Selecione um produto do catálogo." promptTitle="SKU Laszlo" prompt="Selecione o produto" xr:uid="{00000000-0002-0000-0100-000000000000}">
          <x14:formula1>
            <xm:f>'Catálogo Laszlo'!$A$2:$A$590</xm:f>
          </x14:formula1>
          <x14:formula2>
            <xm:f>0</xm:f>
          </x14:formula2>
          <xm:sqref>B6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39C12"/>
  </sheetPr>
  <dimension ref="A1:E19"/>
  <sheetViews>
    <sheetView zoomScaleNormal="100" workbookViewId="0"/>
  </sheetViews>
  <sheetFormatPr defaultColWidth="8.6640625" defaultRowHeight="14.4" x14ac:dyDescent="0.3"/>
  <cols>
    <col min="1" max="1" width="30" customWidth="1"/>
    <col min="2" max="5" width="22" customWidth="1"/>
  </cols>
  <sheetData>
    <row r="1" spans="1:5" ht="17.399999999999999" x14ac:dyDescent="0.3">
      <c r="A1" s="59" t="s">
        <v>103</v>
      </c>
      <c r="B1" s="59"/>
      <c r="C1" s="59"/>
      <c r="D1" s="59"/>
      <c r="E1" s="59"/>
    </row>
    <row r="2" spans="1:5" x14ac:dyDescent="0.3">
      <c r="A2" s="6" t="s">
        <v>104</v>
      </c>
      <c r="B2" s="6"/>
      <c r="C2" s="6"/>
      <c r="D2" s="6"/>
      <c r="E2" s="6"/>
    </row>
    <row r="3" spans="1:5" x14ac:dyDescent="0.3">
      <c r="A3" s="31" t="s">
        <v>105</v>
      </c>
      <c r="B3" s="32" t="str">
        <f>'Motor v3'!B6</f>
        <v>ABS ALGAS-MARINHAS 10 GT FRANCA 10ML</v>
      </c>
    </row>
    <row r="5" spans="1:5" x14ac:dyDescent="0.3">
      <c r="A5" s="33" t="s">
        <v>106</v>
      </c>
      <c r="B5" s="33" t="s">
        <v>107</v>
      </c>
      <c r="C5" s="33" t="s">
        <v>108</v>
      </c>
      <c r="D5" s="33" t="s">
        <v>109</v>
      </c>
      <c r="E5" s="33" t="s">
        <v>110</v>
      </c>
    </row>
    <row r="6" spans="1:5" x14ac:dyDescent="0.3">
      <c r="A6" s="15" t="s">
        <v>111</v>
      </c>
      <c r="B6" s="34" t="str">
        <f>"Tier 1"</f>
        <v>Tier 1</v>
      </c>
      <c r="C6" s="34" t="str">
        <f>"Tier 1"</f>
        <v>Tier 1</v>
      </c>
      <c r="D6" s="34" t="str">
        <f>"Tier 1"</f>
        <v>Tier 1</v>
      </c>
      <c r="E6" s="34" t="str">
        <f>"Tier 2"</f>
        <v>Tier 2</v>
      </c>
    </row>
    <row r="7" spans="1:5" x14ac:dyDescent="0.3">
      <c r="A7" s="15" t="s">
        <v>112</v>
      </c>
      <c r="B7" s="35">
        <f>0.2</f>
        <v>0.2</v>
      </c>
      <c r="C7" s="35">
        <f>0.2</f>
        <v>0.2</v>
      </c>
      <c r="D7" s="35">
        <f>0.2</f>
        <v>0.2</v>
      </c>
      <c r="E7" s="35">
        <f>0.1</f>
        <v>0.1</v>
      </c>
    </row>
    <row r="8" spans="1:5" x14ac:dyDescent="0.3">
      <c r="A8" s="15" t="s">
        <v>113</v>
      </c>
      <c r="B8" s="34">
        <f>2</f>
        <v>2</v>
      </c>
      <c r="C8" s="34">
        <f>1</f>
        <v>1</v>
      </c>
      <c r="D8" s="34">
        <f>1</f>
        <v>1</v>
      </c>
      <c r="E8" s="34">
        <f>1</f>
        <v>1</v>
      </c>
    </row>
    <row r="9" spans="1:5" x14ac:dyDescent="0.3">
      <c r="A9" s="15" t="s">
        <v>114</v>
      </c>
      <c r="B9" s="34">
        <f>'Motor v3'!B21*2</f>
        <v>5</v>
      </c>
      <c r="C9" s="34">
        <f>'Motor v3'!B21*1</f>
        <v>2.5</v>
      </c>
      <c r="D9" s="34">
        <f>'Motor v3'!B21*1</f>
        <v>2.5</v>
      </c>
      <c r="E9" s="34">
        <f>'Motor v3'!B21*1</f>
        <v>2.5</v>
      </c>
    </row>
    <row r="10" spans="1:5" x14ac:dyDescent="0.3">
      <c r="A10" s="15" t="s">
        <v>115</v>
      </c>
      <c r="B10" s="34">
        <f>'Motor v3'!B14+'Motor v3'!B21*2</f>
        <v>51.145535000000002</v>
      </c>
      <c r="C10" s="34">
        <f>'Motor v3'!B14+'Motor v3'!B21</f>
        <v>48.645535000000002</v>
      </c>
      <c r="D10" s="34">
        <f>'Motor v3'!B14+'Motor v3'!B21</f>
        <v>48.645535000000002</v>
      </c>
      <c r="E10" s="34">
        <f>'Motor v3'!B14+'Motor v3'!B21</f>
        <v>48.645535000000002</v>
      </c>
    </row>
    <row r="11" spans="1:5" x14ac:dyDescent="0.3">
      <c r="A11" s="15" t="s">
        <v>116</v>
      </c>
      <c r="B11" s="36">
        <f>1500/50</f>
        <v>30</v>
      </c>
      <c r="C11" s="36">
        <f>1500/200</f>
        <v>7.5</v>
      </c>
      <c r="D11" s="36">
        <f>1500/500</f>
        <v>3</v>
      </c>
      <c r="E11" s="36">
        <f>1500/1000</f>
        <v>1.5</v>
      </c>
    </row>
    <row r="12" spans="1:5" x14ac:dyDescent="0.3">
      <c r="A12" s="15" t="s">
        <v>117</v>
      </c>
      <c r="B12" s="36">
        <f>('Motor v3'!B14+'Motor v3'!B21*2)+1500/50</f>
        <v>81.145534999999995</v>
      </c>
      <c r="C12" s="36">
        <f>('Motor v3'!B14+'Motor v3'!B21)+1500/200</f>
        <v>56.145535000000002</v>
      </c>
      <c r="D12" s="36">
        <f>('Motor v3'!B14+'Motor v3'!B21)+1500/500</f>
        <v>51.645535000000002</v>
      </c>
      <c r="E12" s="36">
        <f>('Motor v3'!B14+'Motor v3'!B21)+1500/1000</f>
        <v>50.145535000000002</v>
      </c>
    </row>
    <row r="13" spans="1:5" x14ac:dyDescent="0.3">
      <c r="A13" s="15" t="s">
        <v>118</v>
      </c>
      <c r="B13" s="36">
        <f>('Motor v3'!B14+'Motor v3'!B21*2)*(1+'Motor v3'!B30)</f>
        <v>71.603748999999993</v>
      </c>
      <c r="C13" s="36">
        <f>('Motor v3'!B14+'Motor v3'!B21)*(1+'Motor v3'!B30)</f>
        <v>68.103748999999993</v>
      </c>
      <c r="D13" s="36">
        <f>('Motor v3'!B14+'Motor v3'!B21)*(1+'Motor v3'!B30)</f>
        <v>68.103748999999993</v>
      </c>
      <c r="E13" s="36">
        <f>('Motor v3'!B14+'Motor v3'!B21)*(1+'Motor v3'!B30)</f>
        <v>68.103748999999993</v>
      </c>
    </row>
    <row r="14" spans="1:5" x14ac:dyDescent="0.3">
      <c r="A14" s="15" t="s">
        <v>119</v>
      </c>
      <c r="B14" s="36">
        <f>('Motor v3'!B14+'Motor v3'!B21*2)*(1+'Motor v3'!B30)*(1+'Motor v3'!B32)*(1+0.2)*(1+'Motor v3'!B33)</f>
        <v>106.20268051679999</v>
      </c>
      <c r="C14" s="36">
        <f>('Motor v3'!B14+'Motor v3'!B21)*(1+'Motor v3'!B30)*(1+'Motor v3'!B32)*(1+0.2)*(1+'Motor v3'!B33)</f>
        <v>101.01148051679998</v>
      </c>
      <c r="D14" s="36">
        <f>('Motor v3'!B14+'Motor v3'!B21)*(1+'Motor v3'!B30)*(1+'Motor v3'!B32)*(1+0.2)*(1+'Motor v3'!B33)</f>
        <v>101.01148051679998</v>
      </c>
      <c r="E14" s="36">
        <f>('Motor v3'!B14+'Motor v3'!B21)*(1+'Motor v3'!B30)*(1+'Motor v3'!B32)*(1+0.1)*(1+'Motor v3'!B33)</f>
        <v>92.59385714039999</v>
      </c>
    </row>
    <row r="15" spans="1:5" x14ac:dyDescent="0.3">
      <c r="A15" s="15" t="s">
        <v>120</v>
      </c>
      <c r="B15" s="36">
        <f>(('Motor v3'!B14+'Motor v3'!B21*2)*(1+'Motor v3'!B30)*(1+'Motor v3'!B32)*(1+0.2)*(1+'Motor v3'!B33))*50+1500</f>
        <v>6810.1340258399996</v>
      </c>
      <c r="C15" s="36">
        <f>(('Motor v3'!B14+'Motor v3'!B21)*(1+'Motor v3'!B30)*(1+'Motor v3'!B32)*(1+0.2)*(1+'Motor v3'!B33))*200+1500</f>
        <v>21702.296103359997</v>
      </c>
      <c r="D15" s="36">
        <f>(('Motor v3'!B14+'Motor v3'!B21)*(1+'Motor v3'!B30)*(1+'Motor v3'!B32)*(1+0.2)*(1+'Motor v3'!B33))*500+1500</f>
        <v>52005.740258399986</v>
      </c>
      <c r="E15" s="36">
        <f>(('Motor v3'!B14+'Motor v3'!B21)*(1+'Motor v3'!B30)*(1+'Motor v3'!B32)*(1+0.1)*(1+'Motor v3'!B33))*1000+1500</f>
        <v>94093.857140399996</v>
      </c>
    </row>
    <row r="16" spans="1:5" x14ac:dyDescent="0.3">
      <c r="A16" s="15" t="s">
        <v>121</v>
      </c>
      <c r="B16" s="36">
        <f>'Motor v3'!B42*0.85-('Motor v3'!B14+'Motor v3'!B21*2)*(1+'Motor v3'!B30)*(1+'Motor v3'!B32)*(1+0.2)*(1+'Motor v3'!B33)</f>
        <v>36.154819513200025</v>
      </c>
      <c r="C16" s="36">
        <f>'Motor v3'!B42*0.85-('Motor v3'!B14+'Motor v3'!B21)*(1+'Motor v3'!B30)*(1+'Motor v3'!B32)*(1+0.2)*(1+'Motor v3'!B33)</f>
        <v>41.346019513200034</v>
      </c>
      <c r="D16" s="36">
        <f>'Motor v3'!B42*0.85-('Motor v3'!B14+'Motor v3'!B21)*(1+'Motor v3'!B30)*(1+'Motor v3'!B32)*(1+0.2)*(1+'Motor v3'!B33)</f>
        <v>41.346019513200034</v>
      </c>
      <c r="E16" s="36">
        <f>'Motor v3'!B42*0.85-('Motor v3'!B14+'Motor v3'!B21)*(1+'Motor v3'!B30)*(1+'Motor v3'!B32)*(1+0.1)*(1+'Motor v3'!B33)</f>
        <v>49.763642889600021</v>
      </c>
    </row>
    <row r="17" spans="1:5" x14ac:dyDescent="0.3">
      <c r="A17" s="15" t="s">
        <v>122</v>
      </c>
      <c r="B17" s="36">
        <f>('Motor v3'!B42*0.85-('Motor v3'!B14+'Motor v3'!B21*2)*(1+'Motor v3'!B30)*(1+'Motor v3'!B32)*(1+0.2)*(1+'Motor v3'!B33))*50</f>
        <v>1807.7409756600011</v>
      </c>
      <c r="C17" s="36">
        <f>('Motor v3'!B42*0.85-('Motor v3'!B14+'Motor v3'!B21)*(1+'Motor v3'!B30)*(1+'Motor v3'!B32)*(1+0.2)*(1+'Motor v3'!B33))*200</f>
        <v>8269.2039026400071</v>
      </c>
      <c r="D17" s="36">
        <f>('Motor v3'!B42*0.85-('Motor v3'!B14+'Motor v3'!B21)*(1+'Motor v3'!B30)*(1+'Motor v3'!B32)*(1+0.2)*(1+'Motor v3'!B33))*500</f>
        <v>20673.009756600019</v>
      </c>
      <c r="E17" s="36">
        <f>('Motor v3'!B42*0.85-('Motor v3'!B14+'Motor v3'!B21)*(1+'Motor v3'!B30)*(1+'Motor v3'!B32)*(1+0.1)*(1+'Motor v3'!B33))*1000</f>
        <v>49763.642889600022</v>
      </c>
    </row>
    <row r="19" spans="1:5" x14ac:dyDescent="0.3">
      <c r="A19" s="12" t="s">
        <v>123</v>
      </c>
      <c r="B19" s="12"/>
      <c r="C19" s="12"/>
      <c r="D19" s="12"/>
      <c r="E19" s="12"/>
    </row>
  </sheetData>
  <mergeCells count="3">
    <mergeCell ref="A1:E1"/>
    <mergeCell ref="A2:E2"/>
    <mergeCell ref="A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44AD"/>
  </sheetPr>
  <dimension ref="A1:D19"/>
  <sheetViews>
    <sheetView zoomScaleNormal="100" workbookViewId="0"/>
  </sheetViews>
  <sheetFormatPr defaultColWidth="8.6640625" defaultRowHeight="14.4" x14ac:dyDescent="0.3"/>
  <cols>
    <col min="1" max="1" width="42" customWidth="1"/>
    <col min="2" max="2" width="25" customWidth="1"/>
    <col min="3" max="3" width="45" customWidth="1"/>
  </cols>
  <sheetData>
    <row r="1" spans="1:4" ht="17.399999999999999" x14ac:dyDescent="0.3">
      <c r="A1" s="59" t="s">
        <v>124</v>
      </c>
      <c r="B1" s="59"/>
      <c r="C1" s="59"/>
      <c r="D1" s="59"/>
    </row>
    <row r="3" spans="1:4" x14ac:dyDescent="0.3">
      <c r="A3" s="11" t="s">
        <v>125</v>
      </c>
      <c r="B3" s="11"/>
      <c r="C3" s="11"/>
      <c r="D3" s="11"/>
    </row>
    <row r="5" spans="1:4" x14ac:dyDescent="0.3">
      <c r="A5" s="20" t="s">
        <v>126</v>
      </c>
      <c r="B5" s="25">
        <v>5.5</v>
      </c>
      <c r="C5" s="22" t="s">
        <v>127</v>
      </c>
    </row>
    <row r="6" spans="1:4" x14ac:dyDescent="0.3">
      <c r="A6" s="20" t="s">
        <v>128</v>
      </c>
      <c r="B6" s="25">
        <v>5.9</v>
      </c>
      <c r="C6" s="22" t="s">
        <v>127</v>
      </c>
    </row>
    <row r="7" spans="1:4" x14ac:dyDescent="0.3">
      <c r="A7" s="20" t="s">
        <v>129</v>
      </c>
      <c r="B7" s="25">
        <v>2</v>
      </c>
      <c r="C7" s="22" t="s">
        <v>130</v>
      </c>
    </row>
    <row r="9" spans="1:4" x14ac:dyDescent="0.3">
      <c r="A9" s="1" t="s">
        <v>131</v>
      </c>
      <c r="B9" s="1"/>
      <c r="C9" s="1"/>
      <c r="D9" s="1"/>
    </row>
    <row r="11" spans="1:4" x14ac:dyDescent="0.3">
      <c r="A11" s="20" t="s">
        <v>132</v>
      </c>
      <c r="B11" s="23" t="str">
        <f>'Motor v3'!B6</f>
        <v>ABS ALGAS-MARINHAS 10 GT FRANCA 10ML</v>
      </c>
    </row>
    <row r="12" spans="1:4" x14ac:dyDescent="0.3">
      <c r="A12" s="20" t="s">
        <v>133</v>
      </c>
      <c r="B12" s="23">
        <f>'Motor v3'!B24</f>
        <v>48.645535000000002</v>
      </c>
    </row>
    <row r="13" spans="1:4" x14ac:dyDescent="0.3">
      <c r="A13" s="20" t="s">
        <v>134</v>
      </c>
      <c r="B13" s="23">
        <f>'Motor v3'!B24*8</f>
        <v>389.16428000000002</v>
      </c>
      <c r="C13" s="22" t="s">
        <v>135</v>
      </c>
    </row>
    <row r="14" spans="1:4" x14ac:dyDescent="0.3">
      <c r="A14" s="20" t="s">
        <v>136</v>
      </c>
      <c r="B14" s="37">
        <f>B13/B5</f>
        <v>70.757141818181822</v>
      </c>
    </row>
    <row r="15" spans="1:4" x14ac:dyDescent="0.3">
      <c r="A15" s="20" t="s">
        <v>137</v>
      </c>
      <c r="B15" s="38">
        <f>B13/B6</f>
        <v>65.960047457627113</v>
      </c>
    </row>
    <row r="16" spans="1:4" x14ac:dyDescent="0.3">
      <c r="A16" s="20" t="s">
        <v>138</v>
      </c>
      <c r="B16" s="37">
        <f>B14+B7</f>
        <v>72.757141818181822</v>
      </c>
    </row>
    <row r="17" spans="1:4" x14ac:dyDescent="0.3">
      <c r="A17" s="20" t="s">
        <v>139</v>
      </c>
      <c r="B17" s="38">
        <f>B15+(B7*B5/B6)</f>
        <v>67.824454237288123</v>
      </c>
    </row>
    <row r="19" spans="1:4" x14ac:dyDescent="0.3">
      <c r="A19" s="9" t="s">
        <v>140</v>
      </c>
      <c r="B19" s="9"/>
      <c r="C19" s="9"/>
      <c r="D19" s="9"/>
    </row>
  </sheetData>
  <mergeCells count="4">
    <mergeCell ref="A1:D1"/>
    <mergeCell ref="A3:D3"/>
    <mergeCell ref="A9:D9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BC9C"/>
  </sheetPr>
  <dimension ref="A1:D37"/>
  <sheetViews>
    <sheetView zoomScaleNormal="100" workbookViewId="0"/>
  </sheetViews>
  <sheetFormatPr defaultColWidth="8.6640625" defaultRowHeight="14.4" x14ac:dyDescent="0.3"/>
  <cols>
    <col min="1" max="1" width="38" customWidth="1"/>
    <col min="2" max="2" width="30" customWidth="1"/>
    <col min="3" max="3" width="35" customWidth="1"/>
    <col min="4" max="4" width="5" customWidth="1"/>
  </cols>
  <sheetData>
    <row r="1" spans="1:4" ht="22.8" x14ac:dyDescent="0.4">
      <c r="A1" s="60" t="s">
        <v>141</v>
      </c>
      <c r="B1" s="60"/>
      <c r="C1" s="60"/>
      <c r="D1" s="60"/>
    </row>
    <row r="2" spans="1:4" ht="15.6" x14ac:dyDescent="0.3">
      <c r="A2" s="61" t="s">
        <v>142</v>
      </c>
      <c r="B2" s="61"/>
      <c r="C2" s="61"/>
      <c r="D2" s="61"/>
    </row>
    <row r="3" spans="1:4" x14ac:dyDescent="0.3">
      <c r="A3" s="62" t="s">
        <v>143</v>
      </c>
      <c r="B3" s="62"/>
      <c r="C3" s="62"/>
      <c r="D3" s="62"/>
    </row>
    <row r="5" spans="1:4" x14ac:dyDescent="0.3">
      <c r="A5" s="5" t="s">
        <v>144</v>
      </c>
      <c r="B5" s="5"/>
      <c r="C5" s="5"/>
      <c r="D5" s="5"/>
    </row>
    <row r="7" spans="1:4" x14ac:dyDescent="0.3">
      <c r="A7" s="20" t="s">
        <v>132</v>
      </c>
      <c r="B7" s="23" t="str">
        <f>'Motor v3'!B6</f>
        <v>ABS ALGAS-MARINHAS 10 GT FRANCA 10ML</v>
      </c>
    </row>
    <row r="8" spans="1:4" x14ac:dyDescent="0.3">
      <c r="A8" s="20" t="s">
        <v>145</v>
      </c>
      <c r="B8" s="23" t="str">
        <f>'Motor v3'!B35</f>
        <v>Tier 1 — Boutique</v>
      </c>
    </row>
    <row r="9" spans="1:4" x14ac:dyDescent="0.3">
      <c r="A9" s="20" t="s">
        <v>146</v>
      </c>
      <c r="B9" s="30">
        <f>'Motor v3'!B7</f>
        <v>200</v>
      </c>
    </row>
    <row r="10" spans="1:4" x14ac:dyDescent="0.3">
      <c r="A10" s="20" t="s">
        <v>44</v>
      </c>
      <c r="B10" s="23" t="str">
        <f>'Motor v3'!B9</f>
        <v>Brasil</v>
      </c>
    </row>
    <row r="12" spans="1:4" x14ac:dyDescent="0.3">
      <c r="A12" s="11" t="s">
        <v>147</v>
      </c>
      <c r="B12" s="11"/>
      <c r="C12" s="11"/>
      <c r="D12" s="11"/>
    </row>
    <row r="14" spans="1:4" x14ac:dyDescent="0.3">
      <c r="A14" s="20" t="s">
        <v>148</v>
      </c>
      <c r="B14" s="39">
        <f>'Motor v3'!B38</f>
        <v>101.01148051679998</v>
      </c>
    </row>
    <row r="15" spans="1:4" x14ac:dyDescent="0.3">
      <c r="A15" s="20" t="s">
        <v>149</v>
      </c>
      <c r="B15" s="39">
        <f>1500</f>
        <v>1500</v>
      </c>
      <c r="C15" s="22" t="s">
        <v>150</v>
      </c>
    </row>
    <row r="16" spans="1:4" ht="17.399999999999999" x14ac:dyDescent="0.3">
      <c r="A16" s="20" t="s">
        <v>151</v>
      </c>
      <c r="B16" s="40">
        <f>'Motor v3'!B46</f>
        <v>21702.296103359997</v>
      </c>
    </row>
    <row r="18" spans="1:4" x14ac:dyDescent="0.3">
      <c r="A18" s="12" t="s">
        <v>152</v>
      </c>
      <c r="B18" s="12"/>
      <c r="C18" s="12"/>
      <c r="D18" s="12"/>
    </row>
    <row r="20" spans="1:4" x14ac:dyDescent="0.3">
      <c r="A20" s="20" t="s">
        <v>153</v>
      </c>
      <c r="B20" s="39">
        <f>'Motor v3'!B42</f>
        <v>167.47941180000001</v>
      </c>
    </row>
    <row r="21" spans="1:4" x14ac:dyDescent="0.3">
      <c r="A21" s="20" t="s">
        <v>154</v>
      </c>
      <c r="B21" s="39">
        <f>'Motor v3'!B48</f>
        <v>41.346019513200034</v>
      </c>
      <c r="C21" s="22" t="s">
        <v>155</v>
      </c>
    </row>
    <row r="22" spans="1:4" x14ac:dyDescent="0.3">
      <c r="A22" s="20" t="s">
        <v>156</v>
      </c>
      <c r="B22" s="30">
        <f>'Motor v3'!B49</f>
        <v>525</v>
      </c>
      <c r="C22" s="22" t="s">
        <v>95</v>
      </c>
    </row>
    <row r="23" spans="1:4" x14ac:dyDescent="0.3">
      <c r="A23" s="20" t="s">
        <v>157</v>
      </c>
      <c r="B23" s="39">
        <f>'Motor v3'!B50</f>
        <v>8269.2039026400071</v>
      </c>
    </row>
    <row r="24" spans="1:4" ht="17.399999999999999" x14ac:dyDescent="0.3">
      <c r="A24" s="20" t="s">
        <v>158</v>
      </c>
      <c r="B24" s="41">
        <f>'Motor v3'!B51</f>
        <v>0.38102898712914302</v>
      </c>
    </row>
    <row r="26" spans="1:4" x14ac:dyDescent="0.3">
      <c r="A26" s="1" t="s">
        <v>159</v>
      </c>
      <c r="B26" s="1"/>
      <c r="C26" s="1"/>
      <c r="D26" s="1"/>
    </row>
    <row r="28" spans="1:4" x14ac:dyDescent="0.3">
      <c r="A28" s="20" t="s">
        <v>86</v>
      </c>
      <c r="B28" s="29">
        <f>'Motor v3'!B43</f>
        <v>0.60312774824779969</v>
      </c>
      <c r="C28" s="22" t="s">
        <v>160</v>
      </c>
    </row>
    <row r="29" spans="1:4" x14ac:dyDescent="0.3">
      <c r="A29" s="20" t="s">
        <v>161</v>
      </c>
      <c r="B29" s="23" t="str">
        <f>'Motor v3'!B44</f>
        <v>⚠ ATENÇÃO — Margem Apertada</v>
      </c>
    </row>
    <row r="30" spans="1:4" x14ac:dyDescent="0.3">
      <c r="A30" s="20" t="s">
        <v>162</v>
      </c>
      <c r="B30" s="23" t="str">
        <f>'Motor v3'!B45</f>
        <v>✓ Competitivo</v>
      </c>
    </row>
    <row r="32" spans="1:4" x14ac:dyDescent="0.3">
      <c r="A32" s="62" t="s">
        <v>143</v>
      </c>
      <c r="B32" s="62"/>
      <c r="C32" s="62"/>
      <c r="D32" s="62"/>
    </row>
    <row r="33" spans="1:4" x14ac:dyDescent="0.3">
      <c r="A33" s="8" t="s">
        <v>163</v>
      </c>
      <c r="B33" s="8"/>
      <c r="C33" s="8"/>
      <c r="D33" s="8"/>
    </row>
    <row r="34" spans="1:4" x14ac:dyDescent="0.3">
      <c r="A34" s="8" t="s">
        <v>164</v>
      </c>
      <c r="B34" s="8"/>
      <c r="C34" s="8"/>
      <c r="D34" s="8"/>
    </row>
    <row r="35" spans="1:4" x14ac:dyDescent="0.3">
      <c r="A35" s="8" t="s">
        <v>165</v>
      </c>
      <c r="B35" s="8"/>
      <c r="C35" s="8"/>
      <c r="D35" s="8"/>
    </row>
    <row r="37" spans="1:4" x14ac:dyDescent="0.3">
      <c r="A37" s="63" t="s">
        <v>166</v>
      </c>
      <c r="B37" s="63"/>
      <c r="C37" s="63"/>
      <c r="D37" s="63"/>
    </row>
  </sheetData>
  <mergeCells count="12">
    <mergeCell ref="A35:D35"/>
    <mergeCell ref="A37:D37"/>
    <mergeCell ref="A18:D18"/>
    <mergeCell ref="A26:D26"/>
    <mergeCell ref="A32:D32"/>
    <mergeCell ref="A33:D33"/>
    <mergeCell ref="A34:D34"/>
    <mergeCell ref="A1:D1"/>
    <mergeCell ref="A2:D2"/>
    <mergeCell ref="A3:D3"/>
    <mergeCell ref="A5:D5"/>
    <mergeCell ref="A12:D12"/>
  </mergeCells>
  <conditionalFormatting sqref="B28">
    <cfRule type="cellIs" dxfId="2" priority="2" operator="lessThan">
      <formula>0.55</formula>
    </cfRule>
    <cfRule type="cellIs" dxfId="1" priority="3" operator="between">
      <formula>0.55</formula>
      <formula>0.7</formula>
    </cfRule>
    <cfRule type="cellIs" dxfId="0" priority="4" operator="greaterThan">
      <formula>0.7</formula>
    </cfRule>
  </conditionalFormatting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980B9"/>
  </sheetPr>
  <dimension ref="A1:I590"/>
  <sheetViews>
    <sheetView zoomScaleNormal="100" workbookViewId="0"/>
  </sheetViews>
  <sheetFormatPr defaultColWidth="8.6640625" defaultRowHeight="14.4" x14ac:dyDescent="0.3"/>
  <cols>
    <col min="1" max="1" width="52" customWidth="1"/>
    <col min="2" max="2" width="10" customWidth="1"/>
    <col min="3" max="3" width="12" customWidth="1"/>
    <col min="4" max="4" width="14" customWidth="1"/>
    <col min="5" max="5" width="12" customWidth="1"/>
    <col min="6" max="7" width="10" customWidth="1"/>
    <col min="8" max="8" width="20" customWidth="1"/>
    <col min="9" max="9" width="10" customWidth="1"/>
  </cols>
  <sheetData>
    <row r="1" spans="1:9" ht="26.4" x14ac:dyDescent="0.3">
      <c r="A1" s="42" t="s">
        <v>167</v>
      </c>
      <c r="B1" s="42" t="s">
        <v>168</v>
      </c>
      <c r="C1" s="42" t="s">
        <v>169</v>
      </c>
      <c r="D1" s="42" t="s">
        <v>170</v>
      </c>
      <c r="E1" s="42" t="s">
        <v>171</v>
      </c>
      <c r="F1" s="42" t="s">
        <v>172</v>
      </c>
      <c r="G1" s="42" t="s">
        <v>173</v>
      </c>
      <c r="H1" s="42" t="s">
        <v>174</v>
      </c>
      <c r="I1" s="42" t="s">
        <v>175</v>
      </c>
    </row>
    <row r="2" spans="1:9" x14ac:dyDescent="0.3">
      <c r="A2" s="19" t="s">
        <v>38</v>
      </c>
      <c r="B2" s="19">
        <v>1124</v>
      </c>
      <c r="C2" s="43">
        <v>46.145535000000002</v>
      </c>
      <c r="D2" s="43">
        <v>167.47941180000001</v>
      </c>
      <c r="E2" s="19">
        <v>34</v>
      </c>
      <c r="F2" s="19">
        <v>241</v>
      </c>
      <c r="G2" s="44">
        <v>0.274470402</v>
      </c>
      <c r="H2" s="45" t="s">
        <v>176</v>
      </c>
      <c r="I2" s="19">
        <v>10</v>
      </c>
    </row>
    <row r="3" spans="1:9" x14ac:dyDescent="0.3">
      <c r="A3" s="19" t="s">
        <v>177</v>
      </c>
      <c r="B3" s="19">
        <v>707</v>
      </c>
      <c r="C3" s="43">
        <v>40.70176</v>
      </c>
      <c r="D3" s="43">
        <v>128.0233613</v>
      </c>
      <c r="E3" s="19">
        <v>238</v>
      </c>
      <c r="F3" s="19">
        <v>71</v>
      </c>
      <c r="G3" s="44">
        <v>0.2320755246</v>
      </c>
      <c r="H3" s="45" t="s">
        <v>176</v>
      </c>
      <c r="I3" s="19">
        <v>10</v>
      </c>
    </row>
    <row r="4" spans="1:9" x14ac:dyDescent="0.3">
      <c r="A4" s="19" t="s">
        <v>178</v>
      </c>
      <c r="B4" s="19">
        <v>708</v>
      </c>
      <c r="C4" s="43">
        <v>9.3645600000000009</v>
      </c>
      <c r="D4" s="43">
        <v>43.64430041</v>
      </c>
      <c r="E4" s="19">
        <v>486</v>
      </c>
      <c r="F4" s="19">
        <v>69</v>
      </c>
      <c r="G4" s="44">
        <v>0.33543452610000002</v>
      </c>
      <c r="H4" s="45" t="s">
        <v>176</v>
      </c>
      <c r="I4" s="19">
        <v>10</v>
      </c>
    </row>
    <row r="5" spans="1:9" x14ac:dyDescent="0.3">
      <c r="A5" s="19" t="s">
        <v>179</v>
      </c>
      <c r="B5" s="19">
        <v>968</v>
      </c>
      <c r="C5" s="43">
        <v>27.849810999999999</v>
      </c>
      <c r="D5" s="43">
        <v>167.4</v>
      </c>
      <c r="E5" s="19">
        <v>10</v>
      </c>
      <c r="F5" s="19">
        <v>205</v>
      </c>
      <c r="G5" s="44">
        <v>0.38363314809999999</v>
      </c>
      <c r="H5" s="45" t="s">
        <v>176</v>
      </c>
      <c r="I5" s="19">
        <v>10</v>
      </c>
    </row>
    <row r="6" spans="1:9" x14ac:dyDescent="0.3">
      <c r="A6" s="19" t="s">
        <v>180</v>
      </c>
      <c r="B6" s="19">
        <v>2184</v>
      </c>
      <c r="C6" s="43">
        <v>8.9570900000000009</v>
      </c>
      <c r="D6" s="43">
        <v>0</v>
      </c>
      <c r="E6" s="19">
        <v>0</v>
      </c>
      <c r="F6" s="19" t="s">
        <v>181</v>
      </c>
      <c r="G6" s="44">
        <v>0</v>
      </c>
      <c r="H6" s="46" t="s">
        <v>182</v>
      </c>
      <c r="I6" s="19">
        <v>5</v>
      </c>
    </row>
    <row r="7" spans="1:9" x14ac:dyDescent="0.3">
      <c r="A7" s="19" t="s">
        <v>183</v>
      </c>
      <c r="B7" s="19">
        <v>1131</v>
      </c>
      <c r="C7" s="43">
        <v>32.423969999999997</v>
      </c>
      <c r="D7" s="43">
        <v>174.3</v>
      </c>
      <c r="E7" s="19">
        <v>72</v>
      </c>
      <c r="F7" s="19">
        <v>121</v>
      </c>
      <c r="G7" s="44">
        <v>0.36397607570000001</v>
      </c>
      <c r="H7" s="45" t="s">
        <v>176</v>
      </c>
      <c r="I7" s="19">
        <v>10</v>
      </c>
    </row>
    <row r="8" spans="1:9" x14ac:dyDescent="0.3">
      <c r="A8" s="19" t="s">
        <v>184</v>
      </c>
      <c r="B8" s="19">
        <v>1119</v>
      </c>
      <c r="C8" s="43">
        <v>14.193</v>
      </c>
      <c r="D8" s="43">
        <v>75.712670810000006</v>
      </c>
      <c r="E8" s="19">
        <v>161</v>
      </c>
      <c r="F8" s="19">
        <v>116</v>
      </c>
      <c r="G8" s="44">
        <v>0.36254128470000002</v>
      </c>
      <c r="H8" s="45" t="s">
        <v>176</v>
      </c>
      <c r="I8" s="19">
        <v>5</v>
      </c>
    </row>
    <row r="9" spans="1:9" x14ac:dyDescent="0.3">
      <c r="A9" s="19" t="s">
        <v>185</v>
      </c>
      <c r="B9" s="19">
        <v>972</v>
      </c>
      <c r="C9" s="43">
        <v>15.269590000000001</v>
      </c>
      <c r="D9" s="43">
        <v>0</v>
      </c>
      <c r="E9" s="19">
        <v>0</v>
      </c>
      <c r="F9" s="19">
        <v>456</v>
      </c>
      <c r="G9" s="44">
        <v>0</v>
      </c>
      <c r="H9" s="46" t="s">
        <v>182</v>
      </c>
      <c r="I9" s="19">
        <v>10</v>
      </c>
    </row>
    <row r="10" spans="1:9" x14ac:dyDescent="0.3">
      <c r="A10" s="19" t="s">
        <v>186</v>
      </c>
      <c r="B10" s="19">
        <v>1374</v>
      </c>
      <c r="C10" s="43">
        <v>16.442599999999999</v>
      </c>
      <c r="D10" s="43">
        <v>107.6076923</v>
      </c>
      <c r="E10" s="19">
        <v>13</v>
      </c>
      <c r="F10" s="19">
        <v>207</v>
      </c>
      <c r="G10" s="44">
        <v>0.39719865609999999</v>
      </c>
      <c r="H10" s="45" t="s">
        <v>176</v>
      </c>
      <c r="I10" s="19">
        <v>10</v>
      </c>
    </row>
    <row r="11" spans="1:9" x14ac:dyDescent="0.3">
      <c r="A11" s="19" t="s">
        <v>187</v>
      </c>
      <c r="B11" s="19">
        <v>1120</v>
      </c>
      <c r="C11" s="43">
        <v>14.22293</v>
      </c>
      <c r="D11" s="43">
        <v>59.266666669999999</v>
      </c>
      <c r="E11" s="19">
        <v>3</v>
      </c>
      <c r="F11" s="19">
        <v>436</v>
      </c>
      <c r="G11" s="44">
        <v>0.31001805399999999</v>
      </c>
      <c r="H11" s="46" t="s">
        <v>182</v>
      </c>
      <c r="I11" s="19">
        <v>10</v>
      </c>
    </row>
    <row r="12" spans="1:9" x14ac:dyDescent="0.3">
      <c r="A12" s="19" t="s">
        <v>188</v>
      </c>
      <c r="B12" s="19">
        <v>1104</v>
      </c>
      <c r="C12" s="43">
        <v>13.939590000000001</v>
      </c>
      <c r="D12" s="43">
        <v>40</v>
      </c>
      <c r="E12" s="19">
        <v>1</v>
      </c>
      <c r="F12" s="19">
        <v>451</v>
      </c>
      <c r="G12" s="44">
        <v>0.20151025</v>
      </c>
      <c r="H12" s="46" t="s">
        <v>182</v>
      </c>
      <c r="I12" s="19">
        <v>5</v>
      </c>
    </row>
    <row r="13" spans="1:9" x14ac:dyDescent="0.3">
      <c r="A13" s="19" t="s">
        <v>189</v>
      </c>
      <c r="B13" s="19">
        <v>1079</v>
      </c>
      <c r="C13" s="43">
        <v>35.873982499999997</v>
      </c>
      <c r="D13" s="43">
        <v>110.55254239999999</v>
      </c>
      <c r="E13" s="19">
        <v>59</v>
      </c>
      <c r="F13" s="19">
        <v>315</v>
      </c>
      <c r="G13" s="44">
        <v>0.22550287190000001</v>
      </c>
      <c r="H13" s="45" t="s">
        <v>176</v>
      </c>
      <c r="I13" s="19">
        <v>5</v>
      </c>
    </row>
    <row r="14" spans="1:9" x14ac:dyDescent="0.3">
      <c r="A14" s="19" t="s">
        <v>190</v>
      </c>
      <c r="B14" s="19">
        <v>873</v>
      </c>
      <c r="C14" s="43">
        <v>20.0499075</v>
      </c>
      <c r="D14" s="43">
        <v>77.020408160000002</v>
      </c>
      <c r="E14" s="19">
        <v>98</v>
      </c>
      <c r="F14" s="19">
        <v>308</v>
      </c>
      <c r="G14" s="44">
        <v>0.28968058619999998</v>
      </c>
      <c r="H14" s="45" t="s">
        <v>176</v>
      </c>
      <c r="I14" s="19">
        <v>5</v>
      </c>
    </row>
    <row r="15" spans="1:9" x14ac:dyDescent="0.3">
      <c r="A15" s="19" t="s">
        <v>191</v>
      </c>
      <c r="B15" s="19">
        <v>1105</v>
      </c>
      <c r="C15" s="43">
        <v>28.7921175</v>
      </c>
      <c r="D15" s="43">
        <v>85.352401959999995</v>
      </c>
      <c r="E15" s="19">
        <v>204</v>
      </c>
      <c r="F15" s="19">
        <v>135</v>
      </c>
      <c r="G15" s="44">
        <v>0.2126677535</v>
      </c>
      <c r="H15" s="45" t="s">
        <v>176</v>
      </c>
      <c r="I15" s="19">
        <v>5</v>
      </c>
    </row>
    <row r="16" spans="1:9" x14ac:dyDescent="0.3">
      <c r="A16" s="19" t="s">
        <v>192</v>
      </c>
      <c r="B16" s="19">
        <v>1090</v>
      </c>
      <c r="C16" s="43">
        <v>21.593889999999998</v>
      </c>
      <c r="D16" s="43">
        <v>88.433333329999996</v>
      </c>
      <c r="E16" s="19">
        <v>72</v>
      </c>
      <c r="F16" s="19">
        <v>311</v>
      </c>
      <c r="G16" s="44">
        <v>0.3058173012</v>
      </c>
      <c r="H16" s="45" t="s">
        <v>176</v>
      </c>
      <c r="I16" s="19">
        <v>5</v>
      </c>
    </row>
    <row r="17" spans="1:9" x14ac:dyDescent="0.3">
      <c r="A17" s="19" t="s">
        <v>193</v>
      </c>
      <c r="B17" s="19">
        <v>839</v>
      </c>
      <c r="C17" s="43">
        <v>8.8295899999999996</v>
      </c>
      <c r="D17" s="43">
        <v>27.60119048</v>
      </c>
      <c r="E17" s="19">
        <v>336</v>
      </c>
      <c r="F17" s="19">
        <v>165</v>
      </c>
      <c r="G17" s="44">
        <v>0.2301011171</v>
      </c>
      <c r="H17" s="45" t="s">
        <v>176</v>
      </c>
      <c r="I17" s="19">
        <v>5</v>
      </c>
    </row>
    <row r="18" spans="1:9" x14ac:dyDescent="0.3">
      <c r="A18" s="19" t="s">
        <v>194</v>
      </c>
      <c r="B18" s="19">
        <v>1375</v>
      </c>
      <c r="C18" s="43">
        <v>16.406590000000001</v>
      </c>
      <c r="D18" s="43">
        <v>85</v>
      </c>
      <c r="E18" s="19">
        <v>1</v>
      </c>
      <c r="F18" s="19">
        <v>442</v>
      </c>
      <c r="G18" s="44">
        <v>0.35698129410000001</v>
      </c>
      <c r="H18" s="46" t="s">
        <v>182</v>
      </c>
      <c r="I18" s="19">
        <v>5</v>
      </c>
    </row>
    <row r="19" spans="1:9" x14ac:dyDescent="0.3">
      <c r="A19" s="19" t="s">
        <v>195</v>
      </c>
      <c r="B19" s="19">
        <v>1085</v>
      </c>
      <c r="C19" s="43">
        <v>22.53734</v>
      </c>
      <c r="D19" s="43">
        <v>88.438211379999998</v>
      </c>
      <c r="E19" s="19">
        <v>123</v>
      </c>
      <c r="F19" s="19">
        <v>140</v>
      </c>
      <c r="G19" s="44">
        <v>0.2951628697</v>
      </c>
      <c r="H19" s="45" t="s">
        <v>176</v>
      </c>
      <c r="I19" s="19">
        <v>5</v>
      </c>
    </row>
    <row r="20" spans="1:9" x14ac:dyDescent="0.3">
      <c r="A20" s="19" t="s">
        <v>196</v>
      </c>
      <c r="B20" s="19">
        <v>1097</v>
      </c>
      <c r="C20" s="43">
        <v>9.97959</v>
      </c>
      <c r="D20" s="43">
        <v>36.094485980000002</v>
      </c>
      <c r="E20" s="19">
        <v>107</v>
      </c>
      <c r="F20" s="19">
        <v>256</v>
      </c>
      <c r="G20" s="44">
        <v>0.27351483259999998</v>
      </c>
      <c r="H20" s="45" t="s">
        <v>176</v>
      </c>
      <c r="I20" s="19">
        <v>5</v>
      </c>
    </row>
    <row r="21" spans="1:9" x14ac:dyDescent="0.3">
      <c r="A21" s="19" t="s">
        <v>197</v>
      </c>
      <c r="B21" s="19">
        <v>836</v>
      </c>
      <c r="C21" s="43">
        <v>15.206989999999999</v>
      </c>
      <c r="D21" s="43">
        <v>80</v>
      </c>
      <c r="E21" s="19">
        <v>7</v>
      </c>
      <c r="F21" s="19">
        <v>215</v>
      </c>
      <c r="G21" s="44">
        <v>0.35991262499999999</v>
      </c>
      <c r="H21" s="45" t="s">
        <v>176</v>
      </c>
      <c r="I21" s="19">
        <v>5</v>
      </c>
    </row>
    <row r="22" spans="1:9" x14ac:dyDescent="0.3">
      <c r="A22" s="19" t="s">
        <v>198</v>
      </c>
      <c r="B22" s="19">
        <v>1084</v>
      </c>
      <c r="C22" s="43">
        <v>38.593690000000002</v>
      </c>
      <c r="D22" s="43">
        <v>0</v>
      </c>
      <c r="E22" s="19">
        <v>0</v>
      </c>
      <c r="F22" s="19">
        <v>289</v>
      </c>
      <c r="G22" s="44">
        <v>0</v>
      </c>
      <c r="H22" s="45" t="s">
        <v>176</v>
      </c>
      <c r="I22" s="19">
        <v>5</v>
      </c>
    </row>
    <row r="23" spans="1:9" x14ac:dyDescent="0.3">
      <c r="A23" s="19" t="s">
        <v>199</v>
      </c>
      <c r="B23" s="19">
        <v>838</v>
      </c>
      <c r="C23" s="43">
        <v>8.2635424999999998</v>
      </c>
      <c r="D23" s="43">
        <v>24.96620879</v>
      </c>
      <c r="E23" s="19">
        <v>364</v>
      </c>
      <c r="F23" s="19">
        <v>172</v>
      </c>
      <c r="G23" s="44">
        <v>0.21901091919999999</v>
      </c>
      <c r="H23" s="45" t="s">
        <v>176</v>
      </c>
      <c r="I23" s="19">
        <v>5</v>
      </c>
    </row>
    <row r="24" spans="1:9" x14ac:dyDescent="0.3">
      <c r="A24" s="19" t="s">
        <v>200</v>
      </c>
      <c r="B24" s="19">
        <v>1083</v>
      </c>
      <c r="C24" s="43">
        <v>15.21439</v>
      </c>
      <c r="D24" s="43">
        <v>37.5</v>
      </c>
      <c r="E24" s="19">
        <v>7</v>
      </c>
      <c r="F24" s="19">
        <v>287</v>
      </c>
      <c r="G24" s="44">
        <v>0.1442829333</v>
      </c>
      <c r="H24" s="45" t="s">
        <v>176</v>
      </c>
      <c r="I24" s="19">
        <v>5</v>
      </c>
    </row>
    <row r="25" spans="1:9" x14ac:dyDescent="0.3">
      <c r="A25" s="19" t="s">
        <v>201</v>
      </c>
      <c r="B25" s="19">
        <v>2101</v>
      </c>
      <c r="C25" s="43">
        <v>21.054703440000001</v>
      </c>
      <c r="D25" s="43">
        <v>91.383261520000005</v>
      </c>
      <c r="E25" s="19">
        <v>3992</v>
      </c>
      <c r="F25" s="19">
        <v>1</v>
      </c>
      <c r="G25" s="44">
        <v>0.31960000020000001</v>
      </c>
      <c r="H25" s="45" t="s">
        <v>176</v>
      </c>
      <c r="I25" s="19">
        <v>100</v>
      </c>
    </row>
    <row r="26" spans="1:9" x14ac:dyDescent="0.3">
      <c r="A26" s="19" t="s">
        <v>202</v>
      </c>
      <c r="B26" s="19">
        <v>1394</v>
      </c>
      <c r="C26" s="43">
        <v>4.9966150000000003</v>
      </c>
      <c r="D26" s="43">
        <v>31.786869920000001</v>
      </c>
      <c r="E26" s="19">
        <v>1476</v>
      </c>
      <c r="F26" s="19">
        <v>31</v>
      </c>
      <c r="G26" s="44">
        <v>0.39280883859999999</v>
      </c>
      <c r="H26" s="45" t="s">
        <v>176</v>
      </c>
      <c r="I26" s="19">
        <v>10</v>
      </c>
    </row>
    <row r="27" spans="1:9" x14ac:dyDescent="0.3">
      <c r="A27" s="19" t="s">
        <v>203</v>
      </c>
      <c r="B27" s="19">
        <v>853</v>
      </c>
      <c r="C27" s="43">
        <v>15.84775</v>
      </c>
      <c r="D27" s="43">
        <v>89.66901163</v>
      </c>
      <c r="E27" s="19">
        <v>344</v>
      </c>
      <c r="F27" s="19">
        <v>40</v>
      </c>
      <c r="G27" s="44">
        <v>0.3732639157</v>
      </c>
      <c r="H27" s="45" t="s">
        <v>176</v>
      </c>
      <c r="I27" s="19">
        <v>1000</v>
      </c>
    </row>
    <row r="28" spans="1:9" x14ac:dyDescent="0.3">
      <c r="A28" s="19" t="s">
        <v>204</v>
      </c>
      <c r="B28" s="19">
        <v>719</v>
      </c>
      <c r="C28" s="43">
        <v>11.618209999999999</v>
      </c>
      <c r="D28" s="43">
        <v>50.545070420000002</v>
      </c>
      <c r="E28" s="19">
        <v>284</v>
      </c>
      <c r="F28" s="19">
        <v>110</v>
      </c>
      <c r="G28" s="44">
        <v>0.32014158050000002</v>
      </c>
      <c r="H28" s="45" t="s">
        <v>176</v>
      </c>
      <c r="I28" s="19">
        <v>200</v>
      </c>
    </row>
    <row r="29" spans="1:9" x14ac:dyDescent="0.3">
      <c r="A29" s="19" t="s">
        <v>205</v>
      </c>
      <c r="B29" s="19">
        <v>727</v>
      </c>
      <c r="C29" s="43">
        <v>15.3674152</v>
      </c>
      <c r="D29" s="43">
        <v>51.73694236</v>
      </c>
      <c r="E29" s="19">
        <v>399</v>
      </c>
      <c r="F29" s="19">
        <v>95</v>
      </c>
      <c r="G29" s="44">
        <v>0.25297016989999999</v>
      </c>
      <c r="H29" s="45" t="s">
        <v>176</v>
      </c>
      <c r="I29" s="19">
        <v>240</v>
      </c>
    </row>
    <row r="30" spans="1:9" x14ac:dyDescent="0.3">
      <c r="A30" s="19" t="s">
        <v>206</v>
      </c>
      <c r="B30" s="19">
        <v>805</v>
      </c>
      <c r="C30" s="43">
        <v>17.783398399999999</v>
      </c>
      <c r="D30" s="43">
        <v>56.630344829999999</v>
      </c>
      <c r="E30" s="19">
        <v>232</v>
      </c>
      <c r="F30" s="19">
        <v>145</v>
      </c>
      <c r="G30" s="44">
        <v>0.23597404</v>
      </c>
      <c r="H30" s="45" t="s">
        <v>176</v>
      </c>
      <c r="I30" s="19">
        <v>200</v>
      </c>
    </row>
    <row r="31" spans="1:9" x14ac:dyDescent="0.3">
      <c r="A31" s="19" t="s">
        <v>207</v>
      </c>
      <c r="B31" s="19">
        <v>802</v>
      </c>
      <c r="C31" s="43">
        <v>15.1645916</v>
      </c>
      <c r="D31" s="43">
        <v>54.357806449999998</v>
      </c>
      <c r="E31" s="19">
        <v>310</v>
      </c>
      <c r="F31" s="19">
        <v>112</v>
      </c>
      <c r="G31" s="44">
        <v>0.2710227456</v>
      </c>
      <c r="H31" s="45" t="s">
        <v>176</v>
      </c>
      <c r="I31" s="19">
        <v>200</v>
      </c>
    </row>
    <row r="32" spans="1:9" x14ac:dyDescent="0.3">
      <c r="A32" s="19" t="s">
        <v>208</v>
      </c>
      <c r="B32" s="19">
        <v>801</v>
      </c>
      <c r="C32" s="43">
        <v>13.037048</v>
      </c>
      <c r="D32" s="43">
        <v>52.377418030000001</v>
      </c>
      <c r="E32" s="19">
        <v>244</v>
      </c>
      <c r="F32" s="19">
        <v>123</v>
      </c>
      <c r="G32" s="44">
        <v>0.30109410720000002</v>
      </c>
      <c r="H32" s="45" t="s">
        <v>176</v>
      </c>
      <c r="I32" s="19">
        <v>200</v>
      </c>
    </row>
    <row r="33" spans="1:9" x14ac:dyDescent="0.3">
      <c r="A33" s="19" t="s">
        <v>209</v>
      </c>
      <c r="B33" s="19">
        <v>804</v>
      </c>
      <c r="C33" s="43">
        <v>17.491146199999999</v>
      </c>
      <c r="D33" s="43">
        <v>56.850900619999997</v>
      </c>
      <c r="E33" s="19">
        <v>322</v>
      </c>
      <c r="F33" s="19">
        <v>117</v>
      </c>
      <c r="G33" s="44">
        <v>0.24233299720000001</v>
      </c>
      <c r="H33" s="45" t="s">
        <v>176</v>
      </c>
      <c r="I33" s="19">
        <v>200</v>
      </c>
    </row>
    <row r="34" spans="1:9" x14ac:dyDescent="0.3">
      <c r="A34" s="19" t="s">
        <v>210</v>
      </c>
      <c r="B34" s="19">
        <v>803</v>
      </c>
      <c r="C34" s="43">
        <v>17.181153800000001</v>
      </c>
      <c r="D34" s="43">
        <v>58.748010200000003</v>
      </c>
      <c r="E34" s="19">
        <v>196</v>
      </c>
      <c r="F34" s="19">
        <v>149</v>
      </c>
      <c r="G34" s="44">
        <v>0.25754492379999999</v>
      </c>
      <c r="H34" s="45" t="s">
        <v>176</v>
      </c>
      <c r="I34" s="19">
        <v>200</v>
      </c>
    </row>
    <row r="35" spans="1:9" x14ac:dyDescent="0.3">
      <c r="A35" s="19" t="s">
        <v>211</v>
      </c>
      <c r="B35" s="19">
        <v>794</v>
      </c>
      <c r="C35" s="43">
        <v>15.861273000000001</v>
      </c>
      <c r="D35" s="43">
        <v>49.802397259999999</v>
      </c>
      <c r="E35" s="19">
        <v>146</v>
      </c>
      <c r="F35" s="19">
        <v>188</v>
      </c>
      <c r="G35" s="44">
        <v>0.23151587330000001</v>
      </c>
      <c r="H35" s="45" t="s">
        <v>176</v>
      </c>
      <c r="I35" s="19">
        <v>200</v>
      </c>
    </row>
    <row r="36" spans="1:9" x14ac:dyDescent="0.3">
      <c r="A36" s="19" t="s">
        <v>212</v>
      </c>
      <c r="B36" s="19">
        <v>784</v>
      </c>
      <c r="C36" s="43">
        <v>11.967359</v>
      </c>
      <c r="D36" s="43">
        <v>47.033024519999998</v>
      </c>
      <c r="E36" s="19">
        <v>367</v>
      </c>
      <c r="F36" s="19">
        <v>80</v>
      </c>
      <c r="G36" s="44">
        <v>0.29555412669999997</v>
      </c>
      <c r="H36" s="45" t="s">
        <v>176</v>
      </c>
      <c r="I36" s="19">
        <v>100</v>
      </c>
    </row>
    <row r="37" spans="1:9" x14ac:dyDescent="0.3">
      <c r="A37" s="19" t="s">
        <v>213</v>
      </c>
      <c r="B37" s="19">
        <v>782</v>
      </c>
      <c r="C37" s="43">
        <v>12.6302264</v>
      </c>
      <c r="D37" s="43">
        <v>51.571428570000002</v>
      </c>
      <c r="E37" s="19">
        <v>189</v>
      </c>
      <c r="F37" s="19">
        <v>144</v>
      </c>
      <c r="G37" s="44">
        <v>0.30509256289999998</v>
      </c>
      <c r="H37" s="45" t="s">
        <v>176</v>
      </c>
      <c r="I37" s="19">
        <v>100</v>
      </c>
    </row>
    <row r="38" spans="1:9" x14ac:dyDescent="0.3">
      <c r="A38" s="19" t="s">
        <v>214</v>
      </c>
      <c r="B38" s="19">
        <v>783</v>
      </c>
      <c r="C38" s="43">
        <v>11.358434799999999</v>
      </c>
      <c r="D38" s="43">
        <v>47.897217849999997</v>
      </c>
      <c r="E38" s="19">
        <v>381</v>
      </c>
      <c r="F38" s="19">
        <v>109</v>
      </c>
      <c r="G38" s="44">
        <v>0.31285815099999997</v>
      </c>
      <c r="H38" s="45" t="s">
        <v>176</v>
      </c>
      <c r="I38" s="19">
        <v>100</v>
      </c>
    </row>
    <row r="39" spans="1:9" x14ac:dyDescent="0.3">
      <c r="A39" s="19" t="s">
        <v>215</v>
      </c>
      <c r="B39" s="19">
        <v>831</v>
      </c>
      <c r="C39" s="43">
        <v>15.51572152</v>
      </c>
      <c r="D39" s="43">
        <v>65.831772150000006</v>
      </c>
      <c r="E39" s="19">
        <v>79</v>
      </c>
      <c r="F39" s="19">
        <v>313</v>
      </c>
      <c r="G39" s="44">
        <v>0.31431256499999999</v>
      </c>
      <c r="H39" s="45" t="s">
        <v>176</v>
      </c>
      <c r="I39" s="19">
        <v>10</v>
      </c>
    </row>
    <row r="40" spans="1:9" x14ac:dyDescent="0.3">
      <c r="A40" s="19" t="s">
        <v>216</v>
      </c>
      <c r="B40" s="19">
        <v>833</v>
      </c>
      <c r="C40" s="43">
        <v>13.565314000000001</v>
      </c>
      <c r="D40" s="43">
        <v>46.548453610000003</v>
      </c>
      <c r="E40" s="19">
        <v>194</v>
      </c>
      <c r="F40" s="19">
        <v>161</v>
      </c>
      <c r="G40" s="44">
        <v>0.25857648430000002</v>
      </c>
      <c r="H40" s="45" t="s">
        <v>176</v>
      </c>
      <c r="I40" s="19">
        <v>60</v>
      </c>
    </row>
    <row r="41" spans="1:9" x14ac:dyDescent="0.3">
      <c r="A41" s="19" t="s">
        <v>217</v>
      </c>
      <c r="B41" s="19">
        <v>830</v>
      </c>
      <c r="C41" s="43">
        <v>14.7089626</v>
      </c>
      <c r="D41" s="43">
        <v>45.777619049999998</v>
      </c>
      <c r="E41" s="19">
        <v>210</v>
      </c>
      <c r="F41" s="19">
        <v>167</v>
      </c>
      <c r="G41" s="44">
        <v>0.2286865961</v>
      </c>
      <c r="H41" s="45" t="s">
        <v>176</v>
      </c>
      <c r="I41" s="19">
        <v>60</v>
      </c>
    </row>
    <row r="42" spans="1:9" x14ac:dyDescent="0.3">
      <c r="A42" s="19" t="s">
        <v>218</v>
      </c>
      <c r="B42" s="19">
        <v>832</v>
      </c>
      <c r="C42" s="43">
        <v>11.923757800000001</v>
      </c>
      <c r="D42" s="43">
        <v>41.138214290000001</v>
      </c>
      <c r="E42" s="19">
        <v>140</v>
      </c>
      <c r="F42" s="19">
        <v>190</v>
      </c>
      <c r="G42" s="44">
        <v>0.26015373400000003</v>
      </c>
      <c r="H42" s="45" t="s">
        <v>176</v>
      </c>
      <c r="I42" s="19">
        <v>60</v>
      </c>
    </row>
    <row r="43" spans="1:9" x14ac:dyDescent="0.3">
      <c r="A43" s="19" t="s">
        <v>219</v>
      </c>
      <c r="B43" s="19">
        <v>706</v>
      </c>
      <c r="C43" s="43">
        <v>22.001629999999999</v>
      </c>
      <c r="D43" s="43">
        <v>64.013909769999998</v>
      </c>
      <c r="E43" s="19">
        <v>266</v>
      </c>
      <c r="F43" s="19">
        <v>124</v>
      </c>
      <c r="G43" s="44">
        <v>0.2062992313</v>
      </c>
      <c r="H43" s="45" t="s">
        <v>176</v>
      </c>
      <c r="I43" s="19">
        <v>200</v>
      </c>
    </row>
    <row r="44" spans="1:9" x14ac:dyDescent="0.3">
      <c r="A44" s="19" t="s">
        <v>220</v>
      </c>
      <c r="B44" s="19">
        <v>772</v>
      </c>
      <c r="C44" s="43">
        <v>38.208199999999998</v>
      </c>
      <c r="D44" s="43">
        <v>131.10347719999999</v>
      </c>
      <c r="E44" s="19">
        <v>834</v>
      </c>
      <c r="F44" s="19">
        <v>14</v>
      </c>
      <c r="G44" s="44">
        <v>0.2585645567</v>
      </c>
      <c r="H44" s="45" t="s">
        <v>176</v>
      </c>
      <c r="I44" s="19">
        <v>1000</v>
      </c>
    </row>
    <row r="45" spans="1:9" x14ac:dyDescent="0.3">
      <c r="A45" s="19" t="s">
        <v>221</v>
      </c>
      <c r="B45" s="19">
        <v>712</v>
      </c>
      <c r="C45" s="43">
        <v>16.106300000000001</v>
      </c>
      <c r="D45" s="43">
        <v>64.098449610000003</v>
      </c>
      <c r="E45" s="19">
        <v>258</v>
      </c>
      <c r="F45" s="19">
        <v>100</v>
      </c>
      <c r="G45" s="44">
        <v>0.29872559170000001</v>
      </c>
      <c r="H45" s="45" t="s">
        <v>176</v>
      </c>
      <c r="I45" s="19">
        <v>200</v>
      </c>
    </row>
    <row r="46" spans="1:9" x14ac:dyDescent="0.3">
      <c r="A46" s="19" t="s">
        <v>222</v>
      </c>
      <c r="B46" s="19">
        <v>779</v>
      </c>
      <c r="C46" s="43">
        <v>40.65088875</v>
      </c>
      <c r="D46" s="43">
        <v>120.84658760000001</v>
      </c>
      <c r="E46" s="19">
        <v>1940</v>
      </c>
      <c r="F46" s="19">
        <v>6</v>
      </c>
      <c r="G46" s="44">
        <v>0.21361574999999999</v>
      </c>
      <c r="H46" s="45" t="s">
        <v>176</v>
      </c>
      <c r="I46" s="19">
        <v>30</v>
      </c>
    </row>
    <row r="47" spans="1:9" x14ac:dyDescent="0.3">
      <c r="A47" s="19" t="s">
        <v>223</v>
      </c>
      <c r="B47" s="19">
        <v>952</v>
      </c>
      <c r="C47" s="43">
        <v>89.29616</v>
      </c>
      <c r="D47" s="43">
        <v>364.56</v>
      </c>
      <c r="E47" s="19">
        <v>12</v>
      </c>
      <c r="F47" s="19">
        <v>319</v>
      </c>
      <c r="G47" s="44">
        <v>0.30505771339999999</v>
      </c>
      <c r="H47" s="45" t="s">
        <v>176</v>
      </c>
      <c r="I47" s="19">
        <v>5</v>
      </c>
    </row>
    <row r="48" spans="1:9" x14ac:dyDescent="0.3">
      <c r="A48" s="19" t="s">
        <v>224</v>
      </c>
      <c r="B48" s="19">
        <v>2094</v>
      </c>
      <c r="C48" s="43">
        <v>25.178096799999999</v>
      </c>
      <c r="D48" s="43">
        <v>126</v>
      </c>
      <c r="E48" s="19">
        <v>2</v>
      </c>
      <c r="F48" s="19">
        <v>421</v>
      </c>
      <c r="G48" s="44">
        <v>0.35017383489999998</v>
      </c>
      <c r="H48" s="46" t="s">
        <v>182</v>
      </c>
      <c r="I48" s="19">
        <v>5</v>
      </c>
    </row>
    <row r="49" spans="1:9" x14ac:dyDescent="0.3">
      <c r="A49" s="19" t="s">
        <v>225</v>
      </c>
      <c r="B49" s="19">
        <v>964</v>
      </c>
      <c r="C49" s="43">
        <v>13.680737000000001</v>
      </c>
      <c r="D49" s="43">
        <v>0</v>
      </c>
      <c r="E49" s="19">
        <v>0</v>
      </c>
      <c r="F49" s="19">
        <v>486</v>
      </c>
      <c r="G49" s="44">
        <v>0</v>
      </c>
      <c r="H49" s="46" t="s">
        <v>182</v>
      </c>
      <c r="I49" s="19">
        <v>10</v>
      </c>
    </row>
    <row r="50" spans="1:9" x14ac:dyDescent="0.3">
      <c r="A50" s="19" t="s">
        <v>226</v>
      </c>
      <c r="B50" s="19">
        <v>1182</v>
      </c>
      <c r="C50" s="43">
        <v>61.148989999999998</v>
      </c>
      <c r="D50" s="43">
        <v>227.9</v>
      </c>
      <c r="E50" s="19">
        <v>6</v>
      </c>
      <c r="F50" s="19">
        <v>371</v>
      </c>
      <c r="G50" s="44">
        <v>0.28168499340000003</v>
      </c>
      <c r="H50" s="45" t="s">
        <v>176</v>
      </c>
      <c r="I50" s="19">
        <v>5</v>
      </c>
    </row>
    <row r="51" spans="1:9" x14ac:dyDescent="0.3">
      <c r="A51" s="19" t="s">
        <v>227</v>
      </c>
      <c r="B51" s="19">
        <v>1127</v>
      </c>
      <c r="C51" s="43">
        <v>8.2641299999999998</v>
      </c>
      <c r="D51" s="43">
        <v>43.25</v>
      </c>
      <c r="E51" s="19">
        <v>44</v>
      </c>
      <c r="F51" s="19">
        <v>345</v>
      </c>
      <c r="G51" s="44">
        <v>0.35892184970000002</v>
      </c>
      <c r="H51" s="45" t="s">
        <v>176</v>
      </c>
      <c r="I51" s="19">
        <v>10</v>
      </c>
    </row>
    <row r="52" spans="1:9" x14ac:dyDescent="0.3">
      <c r="A52" s="19" t="s">
        <v>228</v>
      </c>
      <c r="B52" s="19">
        <v>1371</v>
      </c>
      <c r="C52" s="43">
        <v>25.104856999999999</v>
      </c>
      <c r="D52" s="43">
        <v>99.390322580000003</v>
      </c>
      <c r="E52" s="19">
        <v>31</v>
      </c>
      <c r="F52" s="19">
        <v>328</v>
      </c>
      <c r="G52" s="44">
        <v>0.29741145470000002</v>
      </c>
      <c r="H52" s="45" t="s">
        <v>176</v>
      </c>
      <c r="I52" s="19">
        <v>10</v>
      </c>
    </row>
    <row r="53" spans="1:9" x14ac:dyDescent="0.3">
      <c r="A53" s="19" t="s">
        <v>229</v>
      </c>
      <c r="B53" s="19">
        <v>2072</v>
      </c>
      <c r="C53" s="43">
        <v>14.924989999999999</v>
      </c>
      <c r="D53" s="43">
        <v>119</v>
      </c>
      <c r="E53" s="19">
        <v>8</v>
      </c>
      <c r="F53" s="19">
        <v>367</v>
      </c>
      <c r="G53" s="44">
        <v>0.424579916</v>
      </c>
      <c r="H53" s="45" t="s">
        <v>176</v>
      </c>
      <c r="I53" s="19">
        <v>10</v>
      </c>
    </row>
    <row r="54" spans="1:9" x14ac:dyDescent="0.3">
      <c r="A54" s="19" t="s">
        <v>230</v>
      </c>
      <c r="B54" s="19">
        <v>1003</v>
      </c>
      <c r="C54" s="43">
        <v>20.409130000000001</v>
      </c>
      <c r="D54" s="43">
        <v>0</v>
      </c>
      <c r="E54" s="19">
        <v>0</v>
      </c>
      <c r="F54" s="19">
        <v>457</v>
      </c>
      <c r="G54" s="44">
        <v>0</v>
      </c>
      <c r="H54" s="46" t="s">
        <v>182</v>
      </c>
      <c r="I54" s="19">
        <v>10</v>
      </c>
    </row>
    <row r="55" spans="1:9" x14ac:dyDescent="0.3">
      <c r="A55" s="19" t="s">
        <v>231</v>
      </c>
      <c r="B55" s="19">
        <v>1106</v>
      </c>
      <c r="C55" s="43">
        <v>69.468130000000002</v>
      </c>
      <c r="D55" s="43">
        <v>0</v>
      </c>
      <c r="E55" s="19">
        <v>0</v>
      </c>
      <c r="F55" s="19">
        <v>458</v>
      </c>
      <c r="G55" s="44">
        <v>0</v>
      </c>
      <c r="H55" s="46" t="s">
        <v>182</v>
      </c>
      <c r="I55" s="19">
        <v>10</v>
      </c>
    </row>
    <row r="56" spans="1:9" x14ac:dyDescent="0.3">
      <c r="A56" s="19" t="s">
        <v>232</v>
      </c>
      <c r="B56" s="19">
        <v>1395</v>
      </c>
      <c r="C56" s="43">
        <v>16.811129999999999</v>
      </c>
      <c r="D56" s="43">
        <v>41.75</v>
      </c>
      <c r="E56" s="19">
        <v>2</v>
      </c>
      <c r="F56" s="19">
        <v>448</v>
      </c>
      <c r="G56" s="44">
        <v>0.1473382036</v>
      </c>
      <c r="H56" s="46" t="s">
        <v>182</v>
      </c>
      <c r="I56" s="19">
        <v>10</v>
      </c>
    </row>
    <row r="57" spans="1:9" x14ac:dyDescent="0.3">
      <c r="A57" s="19" t="s">
        <v>233</v>
      </c>
      <c r="B57" s="19">
        <v>935</v>
      </c>
      <c r="C57" s="43">
        <v>31.68413</v>
      </c>
      <c r="D57" s="43">
        <v>95</v>
      </c>
      <c r="E57" s="19">
        <v>1</v>
      </c>
      <c r="F57" s="19">
        <v>493</v>
      </c>
      <c r="G57" s="44">
        <v>0.21648284209999999</v>
      </c>
      <c r="H57" s="46" t="s">
        <v>182</v>
      </c>
      <c r="I57" s="19">
        <v>10</v>
      </c>
    </row>
    <row r="58" spans="1:9" x14ac:dyDescent="0.3">
      <c r="A58" s="19" t="s">
        <v>234</v>
      </c>
      <c r="B58" s="19">
        <v>2156</v>
      </c>
      <c r="C58" s="43">
        <v>23.541429999999998</v>
      </c>
      <c r="D58" s="43">
        <v>108.265625</v>
      </c>
      <c r="E58" s="19">
        <v>48</v>
      </c>
      <c r="F58" s="19">
        <v>187</v>
      </c>
      <c r="G58" s="44">
        <v>0.33255859139999999</v>
      </c>
      <c r="H58" s="45" t="s">
        <v>176</v>
      </c>
      <c r="I58" s="19">
        <v>10</v>
      </c>
    </row>
    <row r="59" spans="1:9" x14ac:dyDescent="0.3">
      <c r="A59" s="19" t="s">
        <v>235</v>
      </c>
      <c r="B59" s="19">
        <v>961</v>
      </c>
      <c r="C59" s="43">
        <v>111.26958999999999</v>
      </c>
      <c r="D59" s="43">
        <v>0</v>
      </c>
      <c r="E59" s="19">
        <v>0</v>
      </c>
      <c r="F59" s="19">
        <v>459</v>
      </c>
      <c r="G59" s="44">
        <v>0</v>
      </c>
      <c r="H59" s="46" t="s">
        <v>182</v>
      </c>
      <c r="I59" s="19">
        <v>5</v>
      </c>
    </row>
    <row r="60" spans="1:9" x14ac:dyDescent="0.3">
      <c r="A60" s="19" t="s">
        <v>236</v>
      </c>
      <c r="B60" s="19">
        <v>1009</v>
      </c>
      <c r="C60" s="43">
        <v>66.110129999999998</v>
      </c>
      <c r="D60" s="43">
        <v>0</v>
      </c>
      <c r="E60" s="19">
        <v>0</v>
      </c>
      <c r="F60" s="19">
        <v>460</v>
      </c>
      <c r="G60" s="44">
        <v>0</v>
      </c>
      <c r="H60" s="46" t="s">
        <v>182</v>
      </c>
      <c r="I60" s="19">
        <v>10</v>
      </c>
    </row>
    <row r="61" spans="1:9" x14ac:dyDescent="0.3">
      <c r="A61" s="19" t="s">
        <v>237</v>
      </c>
      <c r="B61" s="19">
        <v>1010</v>
      </c>
      <c r="C61" s="43">
        <v>86.603129999999993</v>
      </c>
      <c r="D61" s="43">
        <v>0</v>
      </c>
      <c r="E61" s="19">
        <v>0</v>
      </c>
      <c r="F61" s="19">
        <v>461</v>
      </c>
      <c r="G61" s="44">
        <v>0</v>
      </c>
      <c r="H61" s="46" t="s">
        <v>182</v>
      </c>
      <c r="I61" s="19">
        <v>10</v>
      </c>
    </row>
    <row r="62" spans="1:9" x14ac:dyDescent="0.3">
      <c r="A62" s="19" t="s">
        <v>238</v>
      </c>
      <c r="B62" s="19">
        <v>959</v>
      </c>
      <c r="C62" s="43">
        <v>17.00863</v>
      </c>
      <c r="D62" s="43">
        <v>76.316935479999998</v>
      </c>
      <c r="E62" s="19">
        <v>62</v>
      </c>
      <c r="F62" s="19">
        <v>314</v>
      </c>
      <c r="G62" s="44">
        <v>0.3271316433</v>
      </c>
      <c r="H62" s="45" t="s">
        <v>176</v>
      </c>
      <c r="I62" s="19">
        <v>10</v>
      </c>
    </row>
    <row r="63" spans="1:9" x14ac:dyDescent="0.3">
      <c r="A63" s="19" t="s">
        <v>239</v>
      </c>
      <c r="B63" s="19">
        <v>1118</v>
      </c>
      <c r="C63" s="43">
        <v>78.605590000000007</v>
      </c>
      <c r="D63" s="43">
        <v>432.9642857</v>
      </c>
      <c r="E63" s="19">
        <v>7</v>
      </c>
      <c r="F63" s="19">
        <v>324</v>
      </c>
      <c r="G63" s="44">
        <v>0.36844786600000001</v>
      </c>
      <c r="H63" s="45" t="s">
        <v>176</v>
      </c>
      <c r="I63" s="19">
        <v>5</v>
      </c>
    </row>
    <row r="64" spans="1:9" x14ac:dyDescent="0.3">
      <c r="A64" s="19" t="s">
        <v>240</v>
      </c>
      <c r="B64" s="19">
        <v>747</v>
      </c>
      <c r="C64" s="43">
        <v>14.84408</v>
      </c>
      <c r="D64" s="43">
        <v>0</v>
      </c>
      <c r="E64" s="19">
        <v>0</v>
      </c>
      <c r="F64" s="19">
        <v>217</v>
      </c>
      <c r="G64" s="44">
        <v>0</v>
      </c>
      <c r="H64" s="45" t="s">
        <v>176</v>
      </c>
      <c r="I64" s="19">
        <v>10</v>
      </c>
    </row>
    <row r="65" spans="1:9" x14ac:dyDescent="0.3">
      <c r="A65" s="19" t="s">
        <v>241</v>
      </c>
      <c r="B65" s="19">
        <v>825</v>
      </c>
      <c r="C65" s="43">
        <v>67.782839999999993</v>
      </c>
      <c r="D65" s="43">
        <v>0</v>
      </c>
      <c r="E65" s="19">
        <v>0</v>
      </c>
      <c r="F65" s="19">
        <v>218</v>
      </c>
      <c r="G65" s="44">
        <v>0</v>
      </c>
      <c r="H65" s="45" t="s">
        <v>176</v>
      </c>
      <c r="I65" s="19">
        <v>5</v>
      </c>
    </row>
    <row r="66" spans="1:9" x14ac:dyDescent="0.3">
      <c r="A66" s="19" t="s">
        <v>242</v>
      </c>
      <c r="B66" s="19">
        <v>1086</v>
      </c>
      <c r="C66" s="43">
        <v>9.0519999999999996</v>
      </c>
      <c r="D66" s="43">
        <v>36.347351349999997</v>
      </c>
      <c r="E66" s="19">
        <v>185</v>
      </c>
      <c r="F66" s="19">
        <v>180</v>
      </c>
      <c r="G66" s="44">
        <v>0.30095846980000002</v>
      </c>
      <c r="H66" s="45" t="s">
        <v>176</v>
      </c>
      <c r="I66" s="19">
        <v>5</v>
      </c>
    </row>
    <row r="67" spans="1:9" x14ac:dyDescent="0.3">
      <c r="A67" s="19" t="s">
        <v>243</v>
      </c>
      <c r="B67" s="19">
        <v>1396</v>
      </c>
      <c r="C67" s="43">
        <v>36.960340000000002</v>
      </c>
      <c r="D67" s="43">
        <v>0</v>
      </c>
      <c r="E67" s="19">
        <v>0</v>
      </c>
      <c r="F67" s="19">
        <v>462</v>
      </c>
      <c r="G67" s="44">
        <v>0</v>
      </c>
      <c r="H67" s="46" t="s">
        <v>182</v>
      </c>
      <c r="I67" s="19">
        <v>5</v>
      </c>
    </row>
    <row r="68" spans="1:9" x14ac:dyDescent="0.3">
      <c r="A68" s="19" t="s">
        <v>244</v>
      </c>
      <c r="B68" s="19">
        <v>987</v>
      </c>
      <c r="C68" s="43">
        <v>60.894129999999997</v>
      </c>
      <c r="D68" s="43">
        <v>0</v>
      </c>
      <c r="E68" s="19">
        <v>0</v>
      </c>
      <c r="F68" s="19">
        <v>463</v>
      </c>
      <c r="G68" s="44">
        <v>0</v>
      </c>
      <c r="H68" s="46" t="s">
        <v>182</v>
      </c>
      <c r="I68" s="19">
        <v>10</v>
      </c>
    </row>
    <row r="69" spans="1:9" x14ac:dyDescent="0.3">
      <c r="A69" s="19" t="s">
        <v>245</v>
      </c>
      <c r="B69" s="19">
        <v>1218</v>
      </c>
      <c r="C69" s="43">
        <v>58.769590000000001</v>
      </c>
      <c r="D69" s="43">
        <v>261.77499999999998</v>
      </c>
      <c r="E69" s="19">
        <v>4</v>
      </c>
      <c r="F69" s="19">
        <v>376</v>
      </c>
      <c r="G69" s="44">
        <v>0.32549578839999999</v>
      </c>
      <c r="H69" s="45" t="s">
        <v>176</v>
      </c>
      <c r="I69" s="19">
        <v>5</v>
      </c>
    </row>
    <row r="70" spans="1:9" x14ac:dyDescent="0.3">
      <c r="A70" s="19" t="s">
        <v>246</v>
      </c>
      <c r="B70" s="19">
        <v>1078</v>
      </c>
      <c r="C70" s="43">
        <v>19.169589999999999</v>
      </c>
      <c r="D70" s="43">
        <v>56.007142860000002</v>
      </c>
      <c r="E70" s="19">
        <v>14</v>
      </c>
      <c r="F70" s="19">
        <v>401</v>
      </c>
      <c r="G70" s="44">
        <v>0.2077295498</v>
      </c>
      <c r="H70" s="45" t="s">
        <v>176</v>
      </c>
      <c r="I70" s="19">
        <v>5</v>
      </c>
    </row>
    <row r="71" spans="1:9" x14ac:dyDescent="0.3">
      <c r="A71" s="19" t="s">
        <v>247</v>
      </c>
      <c r="B71" s="19">
        <v>1400</v>
      </c>
      <c r="C71" s="43">
        <v>11.60629</v>
      </c>
      <c r="D71" s="43">
        <v>0</v>
      </c>
      <c r="E71" s="19">
        <v>0</v>
      </c>
      <c r="F71" s="19">
        <v>464</v>
      </c>
      <c r="G71" s="44">
        <v>0</v>
      </c>
      <c r="H71" s="46" t="s">
        <v>182</v>
      </c>
      <c r="I71" s="19">
        <v>5</v>
      </c>
    </row>
    <row r="72" spans="1:9" x14ac:dyDescent="0.3">
      <c r="A72" s="19" t="s">
        <v>248</v>
      </c>
      <c r="B72" s="19">
        <v>2073</v>
      </c>
      <c r="C72" s="43">
        <v>19.995840000000001</v>
      </c>
      <c r="D72" s="43">
        <v>65.733333329999994</v>
      </c>
      <c r="E72" s="19">
        <v>6</v>
      </c>
      <c r="F72" s="19">
        <v>418</v>
      </c>
      <c r="G72" s="44">
        <v>0.24580365109999999</v>
      </c>
      <c r="H72" s="46" t="s">
        <v>182</v>
      </c>
      <c r="I72" s="19">
        <v>5</v>
      </c>
    </row>
    <row r="73" spans="1:9" x14ac:dyDescent="0.3">
      <c r="A73" s="19" t="s">
        <v>249</v>
      </c>
      <c r="B73" s="19">
        <v>1397</v>
      </c>
      <c r="C73" s="43">
        <v>0</v>
      </c>
      <c r="D73" s="43">
        <v>42</v>
      </c>
      <c r="E73" s="19">
        <v>1</v>
      </c>
      <c r="F73" s="19">
        <v>444</v>
      </c>
      <c r="G73" s="44">
        <v>0.55000000000000004</v>
      </c>
      <c r="H73" s="46" t="s">
        <v>182</v>
      </c>
      <c r="I73" s="19">
        <v>10</v>
      </c>
    </row>
    <row r="74" spans="1:9" x14ac:dyDescent="0.3">
      <c r="A74" s="19" t="s">
        <v>250</v>
      </c>
      <c r="B74" s="19">
        <v>1428</v>
      </c>
      <c r="C74" s="43">
        <v>0</v>
      </c>
      <c r="D74" s="43">
        <v>64</v>
      </c>
      <c r="E74" s="19">
        <v>1</v>
      </c>
      <c r="F74" s="19">
        <v>441</v>
      </c>
      <c r="G74" s="44">
        <v>0.55000000000000004</v>
      </c>
      <c r="H74" s="46" t="s">
        <v>182</v>
      </c>
      <c r="I74" s="19">
        <v>10</v>
      </c>
    </row>
    <row r="75" spans="1:9" x14ac:dyDescent="0.3">
      <c r="A75" s="19" t="s">
        <v>251</v>
      </c>
      <c r="B75" s="19">
        <v>2074</v>
      </c>
      <c r="C75" s="43">
        <v>10.421390000000001</v>
      </c>
      <c r="D75" s="43">
        <v>32.276249999999997</v>
      </c>
      <c r="E75" s="19">
        <v>48</v>
      </c>
      <c r="F75" s="19">
        <v>374</v>
      </c>
      <c r="G75" s="44">
        <v>0.22711893420000001</v>
      </c>
      <c r="H75" s="45" t="s">
        <v>176</v>
      </c>
      <c r="I75" s="19">
        <v>10</v>
      </c>
    </row>
    <row r="76" spans="1:9" x14ac:dyDescent="0.3">
      <c r="A76" s="19" t="s">
        <v>252</v>
      </c>
      <c r="B76" s="19">
        <v>982</v>
      </c>
      <c r="C76" s="43">
        <v>13.6237472</v>
      </c>
      <c r="D76" s="43">
        <v>64.450312499999995</v>
      </c>
      <c r="E76" s="19">
        <v>32</v>
      </c>
      <c r="F76" s="19">
        <v>204</v>
      </c>
      <c r="G76" s="44">
        <v>0.33861627399999999</v>
      </c>
      <c r="H76" s="45" t="s">
        <v>176</v>
      </c>
      <c r="I76" s="19">
        <v>10</v>
      </c>
    </row>
    <row r="77" spans="1:9" x14ac:dyDescent="0.3">
      <c r="A77" s="19" t="s">
        <v>253</v>
      </c>
      <c r="B77" s="19">
        <v>1095</v>
      </c>
      <c r="C77" s="43">
        <v>8.7897400000000001</v>
      </c>
      <c r="D77" s="43">
        <v>38.681739129999997</v>
      </c>
      <c r="E77" s="19">
        <v>115</v>
      </c>
      <c r="F77" s="19">
        <v>316</v>
      </c>
      <c r="G77" s="44">
        <v>0.3227677142</v>
      </c>
      <c r="H77" s="45" t="s">
        <v>176</v>
      </c>
      <c r="I77" s="19">
        <v>5</v>
      </c>
    </row>
    <row r="78" spans="1:9" x14ac:dyDescent="0.3">
      <c r="A78" s="19" t="s">
        <v>254</v>
      </c>
      <c r="B78" s="19">
        <v>1401</v>
      </c>
      <c r="C78" s="43">
        <v>51.403190000000002</v>
      </c>
      <c r="D78" s="43">
        <v>158.66666670000001</v>
      </c>
      <c r="E78" s="19">
        <v>9</v>
      </c>
      <c r="F78" s="19">
        <v>378</v>
      </c>
      <c r="G78" s="44">
        <v>0.22603031509999999</v>
      </c>
      <c r="H78" s="45" t="s">
        <v>176</v>
      </c>
      <c r="I78" s="19">
        <v>10</v>
      </c>
    </row>
    <row r="79" spans="1:9" x14ac:dyDescent="0.3">
      <c r="A79" s="19" t="s">
        <v>255</v>
      </c>
      <c r="B79" s="19">
        <v>2124</v>
      </c>
      <c r="C79" s="43">
        <v>9.72959</v>
      </c>
      <c r="D79" s="43">
        <v>43.512</v>
      </c>
      <c r="E79" s="19">
        <v>15</v>
      </c>
      <c r="F79" s="19">
        <v>392</v>
      </c>
      <c r="G79" s="44">
        <v>0.3263929491</v>
      </c>
      <c r="H79" s="45" t="s">
        <v>176</v>
      </c>
      <c r="I79" s="19">
        <v>5</v>
      </c>
    </row>
    <row r="80" spans="1:9" x14ac:dyDescent="0.3">
      <c r="A80" s="19" t="s">
        <v>256</v>
      </c>
      <c r="B80" s="19">
        <v>953</v>
      </c>
      <c r="C80" s="43">
        <v>84.704589999999996</v>
      </c>
      <c r="D80" s="43">
        <v>203.11875000000001</v>
      </c>
      <c r="E80" s="19">
        <v>64</v>
      </c>
      <c r="F80" s="19">
        <v>186</v>
      </c>
      <c r="G80" s="44">
        <v>0.13297995630000001</v>
      </c>
      <c r="H80" s="45" t="s">
        <v>176</v>
      </c>
      <c r="I80" s="19">
        <v>5</v>
      </c>
    </row>
    <row r="81" spans="1:9" x14ac:dyDescent="0.3">
      <c r="A81" s="19" t="s">
        <v>257</v>
      </c>
      <c r="B81" s="19">
        <v>1071</v>
      </c>
      <c r="C81" s="43">
        <v>67.211590000000001</v>
      </c>
      <c r="D81" s="43">
        <v>162.56630430000001</v>
      </c>
      <c r="E81" s="19">
        <v>46</v>
      </c>
      <c r="F81" s="19">
        <v>260</v>
      </c>
      <c r="G81" s="44">
        <v>0.13655891040000001</v>
      </c>
      <c r="H81" s="45" t="s">
        <v>176</v>
      </c>
      <c r="I81" s="19">
        <v>5</v>
      </c>
    </row>
    <row r="82" spans="1:9" x14ac:dyDescent="0.3">
      <c r="A82" s="19" t="s">
        <v>258</v>
      </c>
      <c r="B82" s="19">
        <v>1082</v>
      </c>
      <c r="C82" s="43">
        <v>34.49409</v>
      </c>
      <c r="D82" s="43">
        <v>125.5273684</v>
      </c>
      <c r="E82" s="19">
        <v>19</v>
      </c>
      <c r="F82" s="19">
        <v>349</v>
      </c>
      <c r="G82" s="44">
        <v>0.27520661880000002</v>
      </c>
      <c r="H82" s="45" t="s">
        <v>176</v>
      </c>
      <c r="I82" s="19">
        <v>50</v>
      </c>
    </row>
    <row r="83" spans="1:9" x14ac:dyDescent="0.3">
      <c r="A83" s="19" t="s">
        <v>259</v>
      </c>
      <c r="B83" s="19">
        <v>1402</v>
      </c>
      <c r="C83" s="43">
        <v>11.269590000000001</v>
      </c>
      <c r="D83" s="43">
        <v>29.7</v>
      </c>
      <c r="E83" s="19">
        <v>2</v>
      </c>
      <c r="F83" s="19">
        <v>450</v>
      </c>
      <c r="G83" s="44">
        <v>0.17055252530000001</v>
      </c>
      <c r="H83" s="46" t="s">
        <v>182</v>
      </c>
      <c r="I83" s="19">
        <v>5</v>
      </c>
    </row>
    <row r="84" spans="1:9" x14ac:dyDescent="0.3">
      <c r="A84" s="19" t="s">
        <v>260</v>
      </c>
      <c r="B84" s="19">
        <v>1404</v>
      </c>
      <c r="C84" s="43">
        <v>11.28959</v>
      </c>
      <c r="D84" s="43">
        <v>24.3</v>
      </c>
      <c r="E84" s="19">
        <v>1</v>
      </c>
      <c r="F84" s="19">
        <v>455</v>
      </c>
      <c r="G84" s="44">
        <v>8.5407818930000004E-2</v>
      </c>
      <c r="H84" s="46" t="s">
        <v>182</v>
      </c>
      <c r="I84" s="19">
        <v>5</v>
      </c>
    </row>
    <row r="85" spans="1:9" x14ac:dyDescent="0.3">
      <c r="A85" s="19" t="s">
        <v>261</v>
      </c>
      <c r="B85" s="19">
        <v>966</v>
      </c>
      <c r="C85" s="43">
        <v>23.67249</v>
      </c>
      <c r="D85" s="43">
        <v>89.162499999999994</v>
      </c>
      <c r="E85" s="19">
        <v>12</v>
      </c>
      <c r="F85" s="19">
        <v>382</v>
      </c>
      <c r="G85" s="44">
        <v>0.28450172439999999</v>
      </c>
      <c r="H85" s="45" t="s">
        <v>176</v>
      </c>
      <c r="I85" s="19">
        <v>10</v>
      </c>
    </row>
    <row r="86" spans="1:9" x14ac:dyDescent="0.3">
      <c r="A86" s="19" t="s">
        <v>262</v>
      </c>
      <c r="B86" s="19">
        <v>2096</v>
      </c>
      <c r="C86" s="43">
        <v>7.99864</v>
      </c>
      <c r="D86" s="43">
        <v>50.02105263</v>
      </c>
      <c r="E86" s="19">
        <v>19</v>
      </c>
      <c r="F86" s="19">
        <v>372</v>
      </c>
      <c r="G86" s="44">
        <v>0.39009452859999999</v>
      </c>
      <c r="H86" s="45" t="s">
        <v>176</v>
      </c>
      <c r="I86" s="19">
        <v>5</v>
      </c>
    </row>
    <row r="87" spans="1:9" x14ac:dyDescent="0.3">
      <c r="A87" s="19" t="s">
        <v>263</v>
      </c>
      <c r="B87" s="19">
        <v>1094</v>
      </c>
      <c r="C87" s="43">
        <v>11.269590000000001</v>
      </c>
      <c r="D87" s="43">
        <v>48.275116279999999</v>
      </c>
      <c r="E87" s="19">
        <v>86</v>
      </c>
      <c r="F87" s="19">
        <v>244</v>
      </c>
      <c r="G87" s="44">
        <v>0.31655488650000002</v>
      </c>
      <c r="H87" s="45" t="s">
        <v>176</v>
      </c>
      <c r="I87" s="19">
        <v>5</v>
      </c>
    </row>
    <row r="88" spans="1:9" x14ac:dyDescent="0.3">
      <c r="A88" s="19" t="s">
        <v>264</v>
      </c>
      <c r="B88" s="19">
        <v>980</v>
      </c>
      <c r="C88" s="43">
        <v>13.007540000000001</v>
      </c>
      <c r="D88" s="43">
        <v>0</v>
      </c>
      <c r="E88" s="19">
        <v>0</v>
      </c>
      <c r="F88" s="19">
        <v>219</v>
      </c>
      <c r="G88" s="44">
        <v>0</v>
      </c>
      <c r="H88" s="45" t="s">
        <v>176</v>
      </c>
      <c r="I88" s="19">
        <v>5</v>
      </c>
    </row>
    <row r="89" spans="1:9" x14ac:dyDescent="0.3">
      <c r="A89" s="19" t="s">
        <v>265</v>
      </c>
      <c r="B89" s="19">
        <v>1414</v>
      </c>
      <c r="C89" s="43">
        <v>14.8687</v>
      </c>
      <c r="D89" s="43">
        <v>31.49583333</v>
      </c>
      <c r="E89" s="19">
        <v>24</v>
      </c>
      <c r="F89" s="19">
        <v>434</v>
      </c>
      <c r="G89" s="44">
        <v>7.7915332719999994E-2</v>
      </c>
      <c r="H89" s="45" t="s">
        <v>176</v>
      </c>
      <c r="I89" s="19">
        <v>10</v>
      </c>
    </row>
    <row r="90" spans="1:9" x14ac:dyDescent="0.3">
      <c r="A90" s="19" t="s">
        <v>266</v>
      </c>
      <c r="B90" s="19">
        <v>1415</v>
      </c>
      <c r="C90" s="43">
        <v>59.994239999999998</v>
      </c>
      <c r="D90" s="43">
        <v>123</v>
      </c>
      <c r="E90" s="19">
        <v>8</v>
      </c>
      <c r="F90" s="19">
        <v>433</v>
      </c>
      <c r="G90" s="44">
        <v>6.2241951220000001E-2</v>
      </c>
      <c r="H90" s="46" t="s">
        <v>182</v>
      </c>
      <c r="I90" s="19">
        <v>5</v>
      </c>
    </row>
    <row r="91" spans="1:9" x14ac:dyDescent="0.3">
      <c r="A91" s="19" t="s">
        <v>267</v>
      </c>
      <c r="B91" s="19">
        <v>1016</v>
      </c>
      <c r="C91" s="43">
        <v>13.536490000000001</v>
      </c>
      <c r="D91" s="43">
        <v>55.23</v>
      </c>
      <c r="E91" s="19">
        <v>75</v>
      </c>
      <c r="F91" s="19">
        <v>246</v>
      </c>
      <c r="G91" s="44">
        <v>0.30490693460000001</v>
      </c>
      <c r="H91" s="45" t="s">
        <v>176</v>
      </c>
      <c r="I91" s="19">
        <v>5</v>
      </c>
    </row>
    <row r="92" spans="1:9" x14ac:dyDescent="0.3">
      <c r="A92" s="19" t="s">
        <v>268</v>
      </c>
      <c r="B92" s="19">
        <v>1220</v>
      </c>
      <c r="C92" s="43">
        <v>11.050090000000001</v>
      </c>
      <c r="D92" s="43">
        <v>29.8125</v>
      </c>
      <c r="E92" s="19">
        <v>4</v>
      </c>
      <c r="F92" s="19">
        <v>446</v>
      </c>
      <c r="G92" s="44">
        <v>0.17934708599999999</v>
      </c>
      <c r="H92" s="46" t="s">
        <v>182</v>
      </c>
      <c r="I92" s="19">
        <v>10</v>
      </c>
    </row>
    <row r="93" spans="1:9" x14ac:dyDescent="0.3">
      <c r="A93" s="19" t="s">
        <v>269</v>
      </c>
      <c r="B93" s="19">
        <v>1137</v>
      </c>
      <c r="C93" s="43">
        <v>14.61614</v>
      </c>
      <c r="D93" s="43">
        <v>110.8368</v>
      </c>
      <c r="E93" s="19">
        <v>25</v>
      </c>
      <c r="F93" s="19">
        <v>320</v>
      </c>
      <c r="G93" s="44">
        <v>0.41812917729999999</v>
      </c>
      <c r="H93" s="45" t="s">
        <v>176</v>
      </c>
      <c r="I93" s="19">
        <v>5</v>
      </c>
    </row>
    <row r="94" spans="1:9" x14ac:dyDescent="0.3">
      <c r="A94" s="19" t="s">
        <v>270</v>
      </c>
      <c r="B94" s="19">
        <v>2075</v>
      </c>
      <c r="C94" s="43">
        <v>39.1218547</v>
      </c>
      <c r="D94" s="43">
        <v>154.80000000000001</v>
      </c>
      <c r="E94" s="19">
        <v>7</v>
      </c>
      <c r="F94" s="19">
        <v>379</v>
      </c>
      <c r="G94" s="44">
        <v>0.29727484040000002</v>
      </c>
      <c r="H94" s="45" t="s">
        <v>176</v>
      </c>
      <c r="I94" s="19">
        <v>5</v>
      </c>
    </row>
    <row r="95" spans="1:9" x14ac:dyDescent="0.3">
      <c r="A95" s="19" t="s">
        <v>271</v>
      </c>
      <c r="B95" s="19">
        <v>2150</v>
      </c>
      <c r="C95" s="43">
        <v>61.729390000000002</v>
      </c>
      <c r="D95" s="43">
        <v>232.3125</v>
      </c>
      <c r="E95" s="19">
        <v>4</v>
      </c>
      <c r="F95" s="19">
        <v>284</v>
      </c>
      <c r="G95" s="44">
        <v>0.28428295939999998</v>
      </c>
      <c r="H95" s="45" t="s">
        <v>176</v>
      </c>
      <c r="I95" s="19">
        <v>5</v>
      </c>
    </row>
    <row r="96" spans="1:9" x14ac:dyDescent="0.3">
      <c r="A96" s="19" t="s">
        <v>272</v>
      </c>
      <c r="B96" s="19">
        <v>1125</v>
      </c>
      <c r="C96" s="43">
        <v>22.503589999999999</v>
      </c>
      <c r="D96" s="43">
        <v>64.756756760000002</v>
      </c>
      <c r="E96" s="19">
        <v>37</v>
      </c>
      <c r="F96" s="19">
        <v>359</v>
      </c>
      <c r="G96" s="44">
        <v>0.2024904716</v>
      </c>
      <c r="H96" s="45" t="s">
        <v>176</v>
      </c>
      <c r="I96" s="19">
        <v>5</v>
      </c>
    </row>
    <row r="97" spans="1:9" x14ac:dyDescent="0.3">
      <c r="A97" s="19" t="s">
        <v>273</v>
      </c>
      <c r="B97" s="19">
        <v>2105</v>
      </c>
      <c r="C97" s="43">
        <v>7.6716860000000002</v>
      </c>
      <c r="D97" s="43">
        <v>57.6</v>
      </c>
      <c r="E97" s="19">
        <v>19</v>
      </c>
      <c r="F97" s="19">
        <v>361</v>
      </c>
      <c r="G97" s="44">
        <v>0.4168110069</v>
      </c>
      <c r="H97" s="45" t="s">
        <v>176</v>
      </c>
      <c r="I97" s="19">
        <v>10</v>
      </c>
    </row>
    <row r="98" spans="1:9" x14ac:dyDescent="0.3">
      <c r="A98" s="19" t="s">
        <v>274</v>
      </c>
      <c r="B98" s="19">
        <v>814</v>
      </c>
      <c r="C98" s="43">
        <v>9.4050580000000004</v>
      </c>
      <c r="D98" s="43">
        <v>50.293587789999997</v>
      </c>
      <c r="E98" s="19">
        <v>131</v>
      </c>
      <c r="F98" s="19">
        <v>159</v>
      </c>
      <c r="G98" s="44">
        <v>0.36299687670000003</v>
      </c>
      <c r="H98" s="45" t="s">
        <v>176</v>
      </c>
      <c r="I98" s="19">
        <v>10</v>
      </c>
    </row>
    <row r="99" spans="1:9" x14ac:dyDescent="0.3">
      <c r="A99" s="19" t="s">
        <v>275</v>
      </c>
      <c r="B99" s="19">
        <v>1398</v>
      </c>
      <c r="C99" s="43">
        <v>17.103190000000001</v>
      </c>
      <c r="D99" s="43">
        <v>63.766744189999997</v>
      </c>
      <c r="E99" s="19">
        <v>43</v>
      </c>
      <c r="F99" s="19">
        <v>338</v>
      </c>
      <c r="G99" s="44">
        <v>0.28178511439999998</v>
      </c>
      <c r="H99" s="45" t="s">
        <v>176</v>
      </c>
      <c r="I99" s="19">
        <v>5</v>
      </c>
    </row>
    <row r="100" spans="1:9" x14ac:dyDescent="0.3">
      <c r="A100" s="19" t="s">
        <v>276</v>
      </c>
      <c r="B100" s="19">
        <v>1183</v>
      </c>
      <c r="C100" s="43">
        <v>9.8895900000000001</v>
      </c>
      <c r="D100" s="43">
        <v>24.75</v>
      </c>
      <c r="E100" s="19">
        <v>2</v>
      </c>
      <c r="F100" s="19">
        <v>453</v>
      </c>
      <c r="G100" s="44">
        <v>0.15042060609999999</v>
      </c>
      <c r="H100" s="46" t="s">
        <v>182</v>
      </c>
      <c r="I100" s="19">
        <v>5</v>
      </c>
    </row>
    <row r="101" spans="1:9" x14ac:dyDescent="0.3">
      <c r="A101" s="19" t="s">
        <v>277</v>
      </c>
      <c r="B101" s="19">
        <v>1077</v>
      </c>
      <c r="C101" s="43">
        <v>20.324590000000001</v>
      </c>
      <c r="D101" s="43">
        <v>81.076666669999994</v>
      </c>
      <c r="E101" s="19">
        <v>42</v>
      </c>
      <c r="F101" s="19">
        <v>327</v>
      </c>
      <c r="G101" s="44">
        <v>0.2993164083</v>
      </c>
      <c r="H101" s="45" t="s">
        <v>176</v>
      </c>
      <c r="I101" s="19">
        <v>5</v>
      </c>
    </row>
    <row r="102" spans="1:9" x14ac:dyDescent="0.3">
      <c r="A102" s="19" t="s">
        <v>278</v>
      </c>
      <c r="B102" s="19">
        <v>970</v>
      </c>
      <c r="C102" s="43">
        <v>5.8715900000000003</v>
      </c>
      <c r="D102" s="43">
        <v>50.645161289999997</v>
      </c>
      <c r="E102" s="19">
        <v>31</v>
      </c>
      <c r="F102" s="19">
        <v>347</v>
      </c>
      <c r="G102" s="44">
        <v>0.43406414650000003</v>
      </c>
      <c r="H102" s="45" t="s">
        <v>176</v>
      </c>
      <c r="I102" s="19">
        <v>10</v>
      </c>
    </row>
    <row r="103" spans="1:9" x14ac:dyDescent="0.3">
      <c r="A103" s="19" t="s">
        <v>279</v>
      </c>
      <c r="B103" s="19">
        <v>907</v>
      </c>
      <c r="C103" s="43">
        <v>14.269590000000001</v>
      </c>
      <c r="D103" s="43">
        <v>103.125</v>
      </c>
      <c r="E103" s="19">
        <v>8</v>
      </c>
      <c r="F103" s="19">
        <v>377</v>
      </c>
      <c r="G103" s="44">
        <v>0.41162821820000001</v>
      </c>
      <c r="H103" s="45" t="s">
        <v>176</v>
      </c>
      <c r="I103" s="19">
        <v>10</v>
      </c>
    </row>
    <row r="104" spans="1:9" x14ac:dyDescent="0.3">
      <c r="A104" s="19" t="s">
        <v>280</v>
      </c>
      <c r="B104" s="19">
        <v>1431</v>
      </c>
      <c r="C104" s="43">
        <v>0</v>
      </c>
      <c r="D104" s="43">
        <v>132.30263160000001</v>
      </c>
      <c r="E104" s="19">
        <v>38</v>
      </c>
      <c r="F104" s="19">
        <v>303</v>
      </c>
      <c r="G104" s="44">
        <v>0.55000000000000004</v>
      </c>
      <c r="H104" s="45" t="s">
        <v>176</v>
      </c>
      <c r="I104" s="19">
        <v>10</v>
      </c>
    </row>
    <row r="105" spans="1:9" x14ac:dyDescent="0.3">
      <c r="A105" s="19" t="s">
        <v>281</v>
      </c>
      <c r="B105" s="19">
        <v>1416</v>
      </c>
      <c r="C105" s="43">
        <v>11.269590000000001</v>
      </c>
      <c r="D105" s="43">
        <v>0</v>
      </c>
      <c r="E105" s="19">
        <v>0</v>
      </c>
      <c r="F105" s="19">
        <v>466</v>
      </c>
      <c r="G105" s="44">
        <v>0</v>
      </c>
      <c r="H105" s="46" t="s">
        <v>182</v>
      </c>
      <c r="I105" s="19">
        <v>5</v>
      </c>
    </row>
    <row r="106" spans="1:9" x14ac:dyDescent="0.3">
      <c r="A106" s="19" t="s">
        <v>282</v>
      </c>
      <c r="B106" s="19">
        <v>2067</v>
      </c>
      <c r="C106" s="43">
        <v>10.13144</v>
      </c>
      <c r="D106" s="43">
        <v>94.05</v>
      </c>
      <c r="E106" s="19">
        <v>5</v>
      </c>
      <c r="F106" s="19">
        <v>393</v>
      </c>
      <c r="G106" s="44">
        <v>0.4422760234</v>
      </c>
      <c r="H106" s="45" t="s">
        <v>176</v>
      </c>
      <c r="I106" s="19">
        <v>5</v>
      </c>
    </row>
    <row r="107" spans="1:9" x14ac:dyDescent="0.3">
      <c r="A107" s="19" t="s">
        <v>283</v>
      </c>
      <c r="B107" s="19">
        <v>922</v>
      </c>
      <c r="C107" s="43">
        <v>10.84939</v>
      </c>
      <c r="D107" s="43">
        <v>55.612903230000001</v>
      </c>
      <c r="E107" s="19">
        <v>31</v>
      </c>
      <c r="F107" s="19">
        <v>278</v>
      </c>
      <c r="G107" s="44">
        <v>0.35491236079999999</v>
      </c>
      <c r="H107" s="45" t="s">
        <v>176</v>
      </c>
      <c r="I107" s="19">
        <v>10</v>
      </c>
    </row>
    <row r="108" spans="1:9" x14ac:dyDescent="0.3">
      <c r="A108" s="19" t="s">
        <v>284</v>
      </c>
      <c r="B108" s="19">
        <v>1054</v>
      </c>
      <c r="C108" s="43">
        <v>31.954440000000002</v>
      </c>
      <c r="D108" s="43">
        <v>139</v>
      </c>
      <c r="E108" s="19">
        <v>11</v>
      </c>
      <c r="F108" s="19">
        <v>358</v>
      </c>
      <c r="G108" s="44">
        <v>0.32011194240000002</v>
      </c>
      <c r="H108" s="45" t="s">
        <v>176</v>
      </c>
      <c r="I108" s="19">
        <v>5</v>
      </c>
    </row>
    <row r="109" spans="1:9" x14ac:dyDescent="0.3">
      <c r="A109" s="19" t="s">
        <v>285</v>
      </c>
      <c r="B109" s="19">
        <v>977</v>
      </c>
      <c r="C109" s="43">
        <v>7.6095899999999999</v>
      </c>
      <c r="D109" s="43">
        <v>127.1</v>
      </c>
      <c r="E109" s="19">
        <v>2</v>
      </c>
      <c r="F109" s="19">
        <v>410</v>
      </c>
      <c r="G109" s="44">
        <v>0.4901291109</v>
      </c>
      <c r="H109" s="46" t="s">
        <v>182</v>
      </c>
      <c r="I109" s="19">
        <v>10</v>
      </c>
    </row>
    <row r="110" spans="1:9" x14ac:dyDescent="0.3">
      <c r="A110" s="19" t="s">
        <v>286</v>
      </c>
      <c r="B110" s="19">
        <v>1037</v>
      </c>
      <c r="C110" s="43">
        <v>20.27045</v>
      </c>
      <c r="D110" s="43">
        <v>70.722926830000006</v>
      </c>
      <c r="E110" s="19">
        <v>41</v>
      </c>
      <c r="F110" s="19">
        <v>339</v>
      </c>
      <c r="G110" s="44">
        <v>0.26338219569999999</v>
      </c>
      <c r="H110" s="45" t="s">
        <v>176</v>
      </c>
      <c r="I110" s="19">
        <v>5</v>
      </c>
    </row>
    <row r="111" spans="1:9" x14ac:dyDescent="0.3">
      <c r="A111" s="19" t="s">
        <v>287</v>
      </c>
      <c r="B111" s="19">
        <v>2188</v>
      </c>
      <c r="C111" s="43">
        <v>34.513640000000002</v>
      </c>
      <c r="D111" s="43">
        <v>0</v>
      </c>
      <c r="E111" s="19">
        <v>0</v>
      </c>
      <c r="F111" s="19">
        <v>385</v>
      </c>
      <c r="G111" s="44">
        <v>0</v>
      </c>
      <c r="H111" s="45" t="s">
        <v>176</v>
      </c>
      <c r="I111" s="19">
        <v>5</v>
      </c>
    </row>
    <row r="112" spans="1:9" x14ac:dyDescent="0.3">
      <c r="A112" s="19" t="s">
        <v>288</v>
      </c>
      <c r="B112" s="19">
        <v>1068</v>
      </c>
      <c r="C112" s="43">
        <v>20.02974</v>
      </c>
      <c r="D112" s="43">
        <v>72.385714289999996</v>
      </c>
      <c r="E112" s="19">
        <v>14</v>
      </c>
      <c r="F112" s="19">
        <v>384</v>
      </c>
      <c r="G112" s="44">
        <v>0.27329153350000002</v>
      </c>
      <c r="H112" s="45" t="s">
        <v>176</v>
      </c>
      <c r="I112" s="19">
        <v>5</v>
      </c>
    </row>
    <row r="113" spans="1:9" x14ac:dyDescent="0.3">
      <c r="A113" s="19" t="s">
        <v>289</v>
      </c>
      <c r="B113" s="19">
        <v>1067</v>
      </c>
      <c r="C113" s="43">
        <v>11.69459</v>
      </c>
      <c r="D113" s="43">
        <v>50.565624999999997</v>
      </c>
      <c r="E113" s="19">
        <v>32</v>
      </c>
      <c r="F113" s="19">
        <v>355</v>
      </c>
      <c r="G113" s="44">
        <v>0.31872450400000002</v>
      </c>
      <c r="H113" s="45" t="s">
        <v>176</v>
      </c>
      <c r="I113" s="19">
        <v>5</v>
      </c>
    </row>
    <row r="114" spans="1:9" x14ac:dyDescent="0.3">
      <c r="A114" s="19" t="s">
        <v>290</v>
      </c>
      <c r="B114" s="19">
        <v>1088</v>
      </c>
      <c r="C114" s="43">
        <v>6.6795900000000001</v>
      </c>
      <c r="D114" s="43">
        <v>28.237974680000001</v>
      </c>
      <c r="E114" s="19">
        <v>79</v>
      </c>
      <c r="F114" s="19">
        <v>344</v>
      </c>
      <c r="G114" s="44">
        <v>0.31345364440000001</v>
      </c>
      <c r="H114" s="45" t="s">
        <v>176</v>
      </c>
      <c r="I114" s="19">
        <v>5</v>
      </c>
    </row>
    <row r="115" spans="1:9" x14ac:dyDescent="0.3">
      <c r="A115" s="19" t="s">
        <v>291</v>
      </c>
      <c r="B115" s="19">
        <v>2189</v>
      </c>
      <c r="C115" s="43">
        <v>8.0745900000000006</v>
      </c>
      <c r="D115" s="43">
        <v>0</v>
      </c>
      <c r="E115" s="19">
        <v>0</v>
      </c>
      <c r="F115" s="19">
        <v>389</v>
      </c>
      <c r="G115" s="44">
        <v>0</v>
      </c>
      <c r="H115" s="45" t="s">
        <v>176</v>
      </c>
      <c r="I115" s="19">
        <v>5</v>
      </c>
    </row>
    <row r="116" spans="1:9" x14ac:dyDescent="0.3">
      <c r="A116" s="19" t="s">
        <v>292</v>
      </c>
      <c r="B116" s="19">
        <v>1002</v>
      </c>
      <c r="C116" s="43">
        <v>57.833620000000003</v>
      </c>
      <c r="D116" s="43">
        <v>78.895263159999999</v>
      </c>
      <c r="E116" s="19">
        <v>19</v>
      </c>
      <c r="F116" s="19">
        <v>495</v>
      </c>
      <c r="G116" s="44">
        <v>-0.18304299499999999</v>
      </c>
      <c r="H116" s="45" t="s">
        <v>176</v>
      </c>
      <c r="I116" s="19">
        <v>10</v>
      </c>
    </row>
    <row r="117" spans="1:9" x14ac:dyDescent="0.3">
      <c r="A117" s="19" t="s">
        <v>293</v>
      </c>
      <c r="B117" s="19">
        <v>926</v>
      </c>
      <c r="C117" s="43">
        <v>12.500895999999999</v>
      </c>
      <c r="D117" s="43">
        <v>67.2</v>
      </c>
      <c r="E117" s="19">
        <v>5</v>
      </c>
      <c r="F117" s="19">
        <v>216</v>
      </c>
      <c r="G117" s="44">
        <v>0.3639747619</v>
      </c>
      <c r="H117" s="45" t="s">
        <v>176</v>
      </c>
      <c r="I117" s="19">
        <v>10</v>
      </c>
    </row>
    <row r="118" spans="1:9" x14ac:dyDescent="0.3">
      <c r="A118" s="19" t="s">
        <v>294</v>
      </c>
      <c r="B118" s="19">
        <v>2076</v>
      </c>
      <c r="C118" s="43">
        <v>2.3195899999999998</v>
      </c>
      <c r="D118" s="43">
        <v>25.666666670000001</v>
      </c>
      <c r="E118" s="19">
        <v>3</v>
      </c>
      <c r="F118" s="19">
        <v>440</v>
      </c>
      <c r="G118" s="44">
        <v>0.45962636359999998</v>
      </c>
      <c r="H118" s="46" t="s">
        <v>182</v>
      </c>
      <c r="I118" s="19">
        <v>10</v>
      </c>
    </row>
    <row r="119" spans="1:9" x14ac:dyDescent="0.3">
      <c r="A119" s="19" t="s">
        <v>295</v>
      </c>
      <c r="B119" s="19">
        <v>944</v>
      </c>
      <c r="C119" s="43">
        <v>7.8360900000000004</v>
      </c>
      <c r="D119" s="43">
        <v>128.96470590000001</v>
      </c>
      <c r="E119" s="19">
        <v>17</v>
      </c>
      <c r="F119" s="19">
        <v>326</v>
      </c>
      <c r="G119" s="44">
        <v>0.48923849209999998</v>
      </c>
      <c r="H119" s="45" t="s">
        <v>176</v>
      </c>
      <c r="I119" s="19">
        <v>50</v>
      </c>
    </row>
    <row r="120" spans="1:9" x14ac:dyDescent="0.3">
      <c r="A120" s="19" t="s">
        <v>296</v>
      </c>
      <c r="B120" s="19">
        <v>939</v>
      </c>
      <c r="C120" s="43">
        <v>6.2206900000000003</v>
      </c>
      <c r="D120" s="43">
        <v>51.321290320000003</v>
      </c>
      <c r="E120" s="19">
        <v>31</v>
      </c>
      <c r="F120" s="19">
        <v>346</v>
      </c>
      <c r="G120" s="44">
        <v>0.42878929069999999</v>
      </c>
      <c r="H120" s="45" t="s">
        <v>176</v>
      </c>
      <c r="I120" s="19">
        <v>10</v>
      </c>
    </row>
    <row r="121" spans="1:9" x14ac:dyDescent="0.3">
      <c r="A121" s="19" t="s">
        <v>297</v>
      </c>
      <c r="B121" s="19">
        <v>1419</v>
      </c>
      <c r="C121" s="43">
        <v>21.379390000000001</v>
      </c>
      <c r="D121" s="43">
        <v>72.516666670000006</v>
      </c>
      <c r="E121" s="19">
        <v>21</v>
      </c>
      <c r="F121" s="19">
        <v>370</v>
      </c>
      <c r="G121" s="44">
        <v>0.25517963690000001</v>
      </c>
      <c r="H121" s="45" t="s">
        <v>176</v>
      </c>
      <c r="I121" s="19">
        <v>5</v>
      </c>
    </row>
    <row r="122" spans="1:9" x14ac:dyDescent="0.3">
      <c r="A122" s="19" t="s">
        <v>298</v>
      </c>
      <c r="B122" s="19">
        <v>2065</v>
      </c>
      <c r="C122" s="43">
        <v>9.9596900000000002</v>
      </c>
      <c r="D122" s="43">
        <v>45.588000000000001</v>
      </c>
      <c r="E122" s="19">
        <v>40</v>
      </c>
      <c r="F122" s="19">
        <v>351</v>
      </c>
      <c r="G122" s="44">
        <v>0.33152825299999999</v>
      </c>
      <c r="H122" s="45" t="s">
        <v>176</v>
      </c>
      <c r="I122" s="19">
        <v>10</v>
      </c>
    </row>
    <row r="123" spans="1:9" x14ac:dyDescent="0.3">
      <c r="A123" s="19" t="s">
        <v>299</v>
      </c>
      <c r="B123" s="19">
        <v>1145</v>
      </c>
      <c r="C123" s="43">
        <v>14.169589999999999</v>
      </c>
      <c r="D123" s="43">
        <v>79.044358970000005</v>
      </c>
      <c r="E123" s="19">
        <v>39</v>
      </c>
      <c r="F123" s="19">
        <v>323</v>
      </c>
      <c r="G123" s="44">
        <v>0.37073875750000002</v>
      </c>
      <c r="H123" s="45" t="s">
        <v>176</v>
      </c>
      <c r="I123" s="19">
        <v>5</v>
      </c>
    </row>
    <row r="124" spans="1:9" x14ac:dyDescent="0.3">
      <c r="A124" s="19" t="s">
        <v>300</v>
      </c>
      <c r="B124" s="19">
        <v>834</v>
      </c>
      <c r="C124" s="43">
        <v>7.0495900000000002</v>
      </c>
      <c r="D124" s="43">
        <v>26.72307692</v>
      </c>
      <c r="E124" s="19">
        <v>13</v>
      </c>
      <c r="F124" s="19">
        <v>417</v>
      </c>
      <c r="G124" s="44">
        <v>0.28619841680000002</v>
      </c>
      <c r="H124" s="45" t="s">
        <v>176</v>
      </c>
      <c r="I124" s="19">
        <v>5</v>
      </c>
    </row>
    <row r="125" spans="1:9" x14ac:dyDescent="0.3">
      <c r="A125" s="19" t="s">
        <v>301</v>
      </c>
      <c r="B125" s="19">
        <v>1015</v>
      </c>
      <c r="C125" s="43">
        <v>21.509440000000001</v>
      </c>
      <c r="D125" s="43">
        <v>82.677894739999999</v>
      </c>
      <c r="E125" s="19">
        <v>57</v>
      </c>
      <c r="F125" s="19">
        <v>318</v>
      </c>
      <c r="G125" s="44">
        <v>0.28984049699999997</v>
      </c>
      <c r="H125" s="45" t="s">
        <v>176</v>
      </c>
      <c r="I125" s="19">
        <v>5</v>
      </c>
    </row>
    <row r="126" spans="1:9" x14ac:dyDescent="0.3">
      <c r="A126" s="19" t="s">
        <v>302</v>
      </c>
      <c r="B126" s="19">
        <v>1913</v>
      </c>
      <c r="C126" s="43">
        <v>14.095840000000001</v>
      </c>
      <c r="D126" s="43">
        <v>118.125</v>
      </c>
      <c r="E126" s="19">
        <v>8</v>
      </c>
      <c r="F126" s="19">
        <v>366</v>
      </c>
      <c r="G126" s="44">
        <v>0.4306701376</v>
      </c>
      <c r="H126" s="45" t="s">
        <v>176</v>
      </c>
      <c r="I126" s="19">
        <v>5</v>
      </c>
    </row>
    <row r="127" spans="1:9" x14ac:dyDescent="0.3">
      <c r="A127" s="19" t="s">
        <v>303</v>
      </c>
      <c r="B127" s="19">
        <v>1420</v>
      </c>
      <c r="C127" s="43">
        <v>24.679189999999998</v>
      </c>
      <c r="D127" s="43">
        <v>97</v>
      </c>
      <c r="E127" s="19">
        <v>2</v>
      </c>
      <c r="F127" s="19">
        <v>435</v>
      </c>
      <c r="G127" s="44">
        <v>0.29557536080000002</v>
      </c>
      <c r="H127" s="46" t="s">
        <v>182</v>
      </c>
      <c r="I127" s="19">
        <v>5</v>
      </c>
    </row>
    <row r="128" spans="1:9" x14ac:dyDescent="0.3">
      <c r="A128" s="19" t="s">
        <v>304</v>
      </c>
      <c r="B128" s="19">
        <v>1035</v>
      </c>
      <c r="C128" s="43">
        <v>15.29499</v>
      </c>
      <c r="D128" s="43">
        <v>68</v>
      </c>
      <c r="E128" s="19">
        <v>1</v>
      </c>
      <c r="F128" s="19">
        <v>445</v>
      </c>
      <c r="G128" s="44">
        <v>0.32507367650000002</v>
      </c>
      <c r="H128" s="46" t="s">
        <v>182</v>
      </c>
      <c r="I128" s="19">
        <v>5</v>
      </c>
    </row>
    <row r="129" spans="1:9" x14ac:dyDescent="0.3">
      <c r="A129" s="19" t="s">
        <v>305</v>
      </c>
      <c r="B129" s="19">
        <v>981</v>
      </c>
      <c r="C129" s="43">
        <v>27.4126859</v>
      </c>
      <c r="D129" s="43">
        <v>81</v>
      </c>
      <c r="E129" s="19">
        <v>4</v>
      </c>
      <c r="F129" s="19">
        <v>427</v>
      </c>
      <c r="G129" s="44">
        <v>0.21157177899999999</v>
      </c>
      <c r="H129" s="46" t="s">
        <v>182</v>
      </c>
      <c r="I129" s="19">
        <v>10</v>
      </c>
    </row>
    <row r="130" spans="1:9" x14ac:dyDescent="0.3">
      <c r="A130" s="19" t="s">
        <v>306</v>
      </c>
      <c r="B130" s="19">
        <v>2031</v>
      </c>
      <c r="C130" s="43">
        <v>1.26959</v>
      </c>
      <c r="D130" s="43">
        <v>54</v>
      </c>
      <c r="E130" s="19">
        <v>1</v>
      </c>
      <c r="F130" s="19">
        <v>443</v>
      </c>
      <c r="G130" s="44">
        <v>0.52648907410000001</v>
      </c>
      <c r="H130" s="46" t="s">
        <v>182</v>
      </c>
      <c r="I130" s="19">
        <v>10</v>
      </c>
    </row>
    <row r="131" spans="1:9" x14ac:dyDescent="0.3">
      <c r="A131" s="19" t="s">
        <v>307</v>
      </c>
      <c r="B131" s="19">
        <v>1370</v>
      </c>
      <c r="C131" s="43">
        <v>5.76959</v>
      </c>
      <c r="D131" s="43">
        <v>20.93172414</v>
      </c>
      <c r="E131" s="19">
        <v>29</v>
      </c>
      <c r="F131" s="19">
        <v>400</v>
      </c>
      <c r="G131" s="44">
        <v>0.27436145429999997</v>
      </c>
      <c r="H131" s="45" t="s">
        <v>176</v>
      </c>
      <c r="I131" s="19">
        <v>5</v>
      </c>
    </row>
    <row r="132" spans="1:9" x14ac:dyDescent="0.3">
      <c r="A132" s="19" t="s">
        <v>308</v>
      </c>
      <c r="B132" s="19">
        <v>1076</v>
      </c>
      <c r="C132" s="43">
        <v>3.01959</v>
      </c>
      <c r="D132" s="43">
        <v>19.666666670000001</v>
      </c>
      <c r="E132" s="19">
        <v>12</v>
      </c>
      <c r="F132" s="19">
        <v>419</v>
      </c>
      <c r="G132" s="44">
        <v>0.39646152540000001</v>
      </c>
      <c r="H132" s="45" t="s">
        <v>176</v>
      </c>
      <c r="I132" s="19">
        <v>5</v>
      </c>
    </row>
    <row r="133" spans="1:9" x14ac:dyDescent="0.3">
      <c r="A133" s="19" t="s">
        <v>309</v>
      </c>
      <c r="B133" s="19">
        <v>1036</v>
      </c>
      <c r="C133" s="43">
        <v>13.79119</v>
      </c>
      <c r="D133" s="43">
        <v>55.025531909999998</v>
      </c>
      <c r="E133" s="19">
        <v>47</v>
      </c>
      <c r="F133" s="19">
        <v>337</v>
      </c>
      <c r="G133" s="44">
        <v>0.29936743869999999</v>
      </c>
      <c r="H133" s="45" t="s">
        <v>176</v>
      </c>
      <c r="I133" s="19">
        <v>5</v>
      </c>
    </row>
    <row r="134" spans="1:9" x14ac:dyDescent="0.3">
      <c r="A134" s="19" t="s">
        <v>310</v>
      </c>
      <c r="B134" s="19">
        <v>1038</v>
      </c>
      <c r="C134" s="43">
        <v>15.29494</v>
      </c>
      <c r="D134" s="43">
        <v>61.378947369999999</v>
      </c>
      <c r="E134" s="19">
        <v>19</v>
      </c>
      <c r="F134" s="19">
        <v>375</v>
      </c>
      <c r="G134" s="44">
        <v>0.30081130169999998</v>
      </c>
      <c r="H134" s="45" t="s">
        <v>176</v>
      </c>
      <c r="I134" s="19">
        <v>5</v>
      </c>
    </row>
    <row r="135" spans="1:9" x14ac:dyDescent="0.3">
      <c r="A135" s="19" t="s">
        <v>311</v>
      </c>
      <c r="B135" s="19">
        <v>2106</v>
      </c>
      <c r="C135" s="43">
        <v>18.724589999999999</v>
      </c>
      <c r="D135" s="43">
        <v>60.857142860000003</v>
      </c>
      <c r="E135" s="19">
        <v>21</v>
      </c>
      <c r="F135" s="19">
        <v>380</v>
      </c>
      <c r="G135" s="44">
        <v>0.24231894370000001</v>
      </c>
      <c r="H135" s="45" t="s">
        <v>176</v>
      </c>
      <c r="I135" s="19">
        <v>5</v>
      </c>
    </row>
    <row r="136" spans="1:9" x14ac:dyDescent="0.3">
      <c r="A136" s="19" t="s">
        <v>312</v>
      </c>
      <c r="B136" s="19">
        <v>1164</v>
      </c>
      <c r="C136" s="43">
        <v>2.3821059999999998</v>
      </c>
      <c r="D136" s="43">
        <v>25.014863389999999</v>
      </c>
      <c r="E136" s="19">
        <v>183</v>
      </c>
      <c r="F136" s="19">
        <v>173</v>
      </c>
      <c r="G136" s="44">
        <v>0.45477237619999999</v>
      </c>
      <c r="H136" s="45" t="s">
        <v>176</v>
      </c>
      <c r="I136" s="19">
        <v>5</v>
      </c>
    </row>
    <row r="137" spans="1:9" x14ac:dyDescent="0.3">
      <c r="A137" s="19" t="s">
        <v>313</v>
      </c>
      <c r="B137" s="19">
        <v>2107</v>
      </c>
      <c r="C137" s="43">
        <v>8.2945899999999995</v>
      </c>
      <c r="D137" s="43">
        <v>51.9</v>
      </c>
      <c r="E137" s="19">
        <v>10</v>
      </c>
      <c r="F137" s="19">
        <v>394</v>
      </c>
      <c r="G137" s="44">
        <v>0.39018131020000002</v>
      </c>
      <c r="H137" s="45" t="s">
        <v>176</v>
      </c>
      <c r="I137" s="19">
        <v>5</v>
      </c>
    </row>
    <row r="138" spans="1:9" x14ac:dyDescent="0.3">
      <c r="A138" s="19" t="s">
        <v>314</v>
      </c>
      <c r="B138" s="19">
        <v>1047</v>
      </c>
      <c r="C138" s="43">
        <v>9.7390171999999993</v>
      </c>
      <c r="D138" s="43">
        <v>42.989100530000002</v>
      </c>
      <c r="E138" s="19">
        <v>189</v>
      </c>
      <c r="F138" s="19">
        <v>305</v>
      </c>
      <c r="G138" s="44">
        <v>0.3234538039</v>
      </c>
      <c r="H138" s="45" t="s">
        <v>176</v>
      </c>
      <c r="I138" s="19">
        <v>5</v>
      </c>
    </row>
    <row r="139" spans="1:9" x14ac:dyDescent="0.3">
      <c r="A139" s="19" t="s">
        <v>315</v>
      </c>
      <c r="B139" s="19">
        <v>1074</v>
      </c>
      <c r="C139" s="43">
        <v>9.5945900000000002</v>
      </c>
      <c r="D139" s="43">
        <v>43.391176469999998</v>
      </c>
      <c r="E139" s="19">
        <v>51</v>
      </c>
      <c r="F139" s="19">
        <v>342</v>
      </c>
      <c r="G139" s="44">
        <v>0.32888154269999997</v>
      </c>
      <c r="H139" s="45" t="s">
        <v>176</v>
      </c>
      <c r="I139" s="19">
        <v>5</v>
      </c>
    </row>
    <row r="140" spans="1:9" x14ac:dyDescent="0.3">
      <c r="A140" s="19" t="s">
        <v>316</v>
      </c>
      <c r="B140" s="19">
        <v>1057</v>
      </c>
      <c r="C140" s="43">
        <v>5.48034</v>
      </c>
      <c r="D140" s="43">
        <v>20.86310241</v>
      </c>
      <c r="E140" s="19">
        <v>332</v>
      </c>
      <c r="F140" s="19">
        <v>309</v>
      </c>
      <c r="G140" s="44">
        <v>0.287319029</v>
      </c>
      <c r="H140" s="45" t="s">
        <v>176</v>
      </c>
      <c r="I140" s="19">
        <v>5</v>
      </c>
    </row>
    <row r="141" spans="1:9" x14ac:dyDescent="0.3">
      <c r="A141" s="19" t="s">
        <v>317</v>
      </c>
      <c r="B141" s="19">
        <v>1073</v>
      </c>
      <c r="C141" s="43">
        <v>9.5945900000000002</v>
      </c>
      <c r="D141" s="43">
        <v>49.118518520000002</v>
      </c>
      <c r="E141" s="19">
        <v>162</v>
      </c>
      <c r="F141" s="19">
        <v>302</v>
      </c>
      <c r="G141" s="44">
        <v>0.35466450760000001</v>
      </c>
      <c r="H141" s="45" t="s">
        <v>176</v>
      </c>
      <c r="I141" s="19">
        <v>5</v>
      </c>
    </row>
    <row r="142" spans="1:9" x14ac:dyDescent="0.3">
      <c r="A142" s="19" t="s">
        <v>318</v>
      </c>
      <c r="B142" s="19">
        <v>1070</v>
      </c>
      <c r="C142" s="43">
        <v>9.6395900000000001</v>
      </c>
      <c r="D142" s="43">
        <v>42.099687500000002</v>
      </c>
      <c r="E142" s="19">
        <v>64</v>
      </c>
      <c r="F142" s="19">
        <v>331</v>
      </c>
      <c r="G142" s="44">
        <v>0.32102941680000002</v>
      </c>
      <c r="H142" s="45" t="s">
        <v>176</v>
      </c>
      <c r="I142" s="19">
        <v>10</v>
      </c>
    </row>
    <row r="143" spans="1:9" x14ac:dyDescent="0.3">
      <c r="A143" s="19" t="s">
        <v>319</v>
      </c>
      <c r="B143" s="19">
        <v>1006</v>
      </c>
      <c r="C143" s="43">
        <v>13.274659</v>
      </c>
      <c r="D143" s="43">
        <v>82.333333330000002</v>
      </c>
      <c r="E143" s="19">
        <v>18</v>
      </c>
      <c r="F143" s="19">
        <v>353</v>
      </c>
      <c r="G143" s="44">
        <v>0.38876932390000002</v>
      </c>
      <c r="H143" s="45" t="s">
        <v>176</v>
      </c>
      <c r="I143" s="19">
        <v>5</v>
      </c>
    </row>
    <row r="144" spans="1:9" x14ac:dyDescent="0.3">
      <c r="A144" s="19" t="s">
        <v>320</v>
      </c>
      <c r="B144" s="19">
        <v>1080</v>
      </c>
      <c r="C144" s="43">
        <v>13.289934000000001</v>
      </c>
      <c r="D144" s="43">
        <v>80.216666669999995</v>
      </c>
      <c r="E144" s="19">
        <v>24</v>
      </c>
      <c r="F144" s="19">
        <v>341</v>
      </c>
      <c r="G144" s="44">
        <v>0.3843245294</v>
      </c>
      <c r="H144" s="45" t="s">
        <v>176</v>
      </c>
      <c r="I144" s="19">
        <v>5</v>
      </c>
    </row>
    <row r="145" spans="1:9" x14ac:dyDescent="0.3">
      <c r="A145" s="19" t="s">
        <v>321</v>
      </c>
      <c r="B145" s="19">
        <v>915</v>
      </c>
      <c r="C145" s="43">
        <v>9.6475899999999992</v>
      </c>
      <c r="D145" s="43">
        <v>54.001216929999998</v>
      </c>
      <c r="E145" s="19">
        <v>189</v>
      </c>
      <c r="F145" s="19">
        <v>301</v>
      </c>
      <c r="G145" s="44">
        <v>0.37134495210000001</v>
      </c>
      <c r="H145" s="45" t="s">
        <v>176</v>
      </c>
      <c r="I145" s="19">
        <v>10</v>
      </c>
    </row>
    <row r="146" spans="1:9" x14ac:dyDescent="0.3">
      <c r="A146" s="19" t="s">
        <v>322</v>
      </c>
      <c r="B146" s="19">
        <v>1069</v>
      </c>
      <c r="C146" s="43">
        <v>9.4595900000000004</v>
      </c>
      <c r="D146" s="43">
        <v>46.440384620000003</v>
      </c>
      <c r="E146" s="19">
        <v>26</v>
      </c>
      <c r="F146" s="19">
        <v>363</v>
      </c>
      <c r="G146" s="44">
        <v>0.34630681190000001</v>
      </c>
      <c r="H146" s="45" t="s">
        <v>176</v>
      </c>
      <c r="I146" s="19">
        <v>5</v>
      </c>
    </row>
    <row r="147" spans="1:9" x14ac:dyDescent="0.3">
      <c r="A147" s="19" t="s">
        <v>323</v>
      </c>
      <c r="B147" s="19">
        <v>1064</v>
      </c>
      <c r="C147" s="43">
        <v>9.5945900000000002</v>
      </c>
      <c r="D147" s="43">
        <v>51.249333329999999</v>
      </c>
      <c r="E147" s="19">
        <v>75</v>
      </c>
      <c r="F147" s="19">
        <v>317</v>
      </c>
      <c r="G147" s="44">
        <v>0.36278605250000001</v>
      </c>
      <c r="H147" s="45" t="s">
        <v>176</v>
      </c>
      <c r="I147" s="19">
        <v>5</v>
      </c>
    </row>
    <row r="148" spans="1:9" x14ac:dyDescent="0.3">
      <c r="A148" s="19" t="s">
        <v>324</v>
      </c>
      <c r="B148" s="19">
        <v>1422</v>
      </c>
      <c r="C148" s="43">
        <v>9.6395900000000001</v>
      </c>
      <c r="D148" s="43">
        <v>54.964285709999999</v>
      </c>
      <c r="E148" s="19">
        <v>7</v>
      </c>
      <c r="F148" s="19">
        <v>406</v>
      </c>
      <c r="G148" s="44">
        <v>0.37462084470000001</v>
      </c>
      <c r="H148" s="46" t="s">
        <v>182</v>
      </c>
      <c r="I148" s="19">
        <v>5</v>
      </c>
    </row>
    <row r="149" spans="1:9" x14ac:dyDescent="0.3">
      <c r="A149" s="19" t="s">
        <v>325</v>
      </c>
      <c r="B149" s="19">
        <v>2077</v>
      </c>
      <c r="C149" s="43">
        <v>23.70749</v>
      </c>
      <c r="D149" s="43">
        <v>93.142857140000004</v>
      </c>
      <c r="E149" s="19">
        <v>7</v>
      </c>
      <c r="F149" s="19">
        <v>395</v>
      </c>
      <c r="G149" s="44">
        <v>0.29547173310000002</v>
      </c>
      <c r="H149" s="45" t="s">
        <v>176</v>
      </c>
      <c r="I149" s="19">
        <v>10</v>
      </c>
    </row>
    <row r="150" spans="1:9" x14ac:dyDescent="0.3">
      <c r="A150" s="19" t="s">
        <v>326</v>
      </c>
      <c r="B150" s="19">
        <v>899</v>
      </c>
      <c r="C150" s="43">
        <v>11.269590000000001</v>
      </c>
      <c r="D150" s="43">
        <v>67.52</v>
      </c>
      <c r="E150" s="19">
        <v>5</v>
      </c>
      <c r="F150" s="19">
        <v>408</v>
      </c>
      <c r="G150" s="44">
        <v>0.38309256520000001</v>
      </c>
      <c r="H150" s="46" t="s">
        <v>182</v>
      </c>
      <c r="I150" s="19">
        <v>10</v>
      </c>
    </row>
    <row r="151" spans="1:9" x14ac:dyDescent="0.3">
      <c r="A151" s="19" t="s">
        <v>327</v>
      </c>
      <c r="B151" s="19">
        <v>1163</v>
      </c>
      <c r="C151" s="43">
        <v>7.1095860000000002</v>
      </c>
      <c r="D151" s="43">
        <v>39.847017540000003</v>
      </c>
      <c r="E151" s="19">
        <v>57</v>
      </c>
      <c r="F151" s="19">
        <v>332</v>
      </c>
      <c r="G151" s="44">
        <v>0.37157796399999998</v>
      </c>
      <c r="H151" s="45" t="s">
        <v>176</v>
      </c>
      <c r="I151" s="19">
        <v>5</v>
      </c>
    </row>
    <row r="152" spans="1:9" x14ac:dyDescent="0.3">
      <c r="A152" s="19" t="s">
        <v>328</v>
      </c>
      <c r="B152" s="19">
        <v>1146</v>
      </c>
      <c r="C152" s="43">
        <v>17.78509</v>
      </c>
      <c r="D152" s="43">
        <v>0</v>
      </c>
      <c r="E152" s="19">
        <v>0</v>
      </c>
      <c r="F152" s="19">
        <v>467</v>
      </c>
      <c r="G152" s="44">
        <v>0</v>
      </c>
      <c r="H152" s="46" t="s">
        <v>182</v>
      </c>
      <c r="I152" s="19">
        <v>5</v>
      </c>
    </row>
    <row r="153" spans="1:9" x14ac:dyDescent="0.3">
      <c r="A153" s="19" t="s">
        <v>329</v>
      </c>
      <c r="B153" s="19">
        <v>1244</v>
      </c>
      <c r="C153" s="43">
        <v>16.269590000000001</v>
      </c>
      <c r="D153" s="43">
        <v>68.535546220000001</v>
      </c>
      <c r="E153" s="19">
        <v>119</v>
      </c>
      <c r="F153" s="19">
        <v>306</v>
      </c>
      <c r="G153" s="44">
        <v>0.3126109239</v>
      </c>
      <c r="H153" s="45" t="s">
        <v>176</v>
      </c>
      <c r="I153" s="19">
        <v>5</v>
      </c>
    </row>
    <row r="154" spans="1:9" x14ac:dyDescent="0.3">
      <c r="A154" s="19" t="s">
        <v>330</v>
      </c>
      <c r="B154" s="19">
        <v>2123</v>
      </c>
      <c r="C154" s="43">
        <v>11.311389999999999</v>
      </c>
      <c r="D154" s="43">
        <v>33.583333330000002</v>
      </c>
      <c r="E154" s="19">
        <v>9</v>
      </c>
      <c r="F154" s="19">
        <v>430</v>
      </c>
      <c r="G154" s="44">
        <v>0.21318441690000001</v>
      </c>
      <c r="H154" s="46" t="s">
        <v>182</v>
      </c>
      <c r="I154" s="19">
        <v>5</v>
      </c>
    </row>
    <row r="155" spans="1:9" x14ac:dyDescent="0.3">
      <c r="A155" s="19" t="s">
        <v>331</v>
      </c>
      <c r="B155" s="19">
        <v>1399</v>
      </c>
      <c r="C155" s="43">
        <v>4.7664</v>
      </c>
      <c r="D155" s="43">
        <v>27.533333330000001</v>
      </c>
      <c r="E155" s="19">
        <v>15</v>
      </c>
      <c r="F155" s="19">
        <v>403</v>
      </c>
      <c r="G155" s="44">
        <v>0.37688619849999999</v>
      </c>
      <c r="H155" s="45" t="s">
        <v>176</v>
      </c>
      <c r="I155" s="19">
        <v>5</v>
      </c>
    </row>
    <row r="156" spans="1:9" x14ac:dyDescent="0.3">
      <c r="A156" s="19" t="s">
        <v>332</v>
      </c>
      <c r="B156" s="19">
        <v>1128</v>
      </c>
      <c r="C156" s="43">
        <v>26.224717999999999</v>
      </c>
      <c r="D156" s="43">
        <v>80.385000000000005</v>
      </c>
      <c r="E156" s="19">
        <v>30</v>
      </c>
      <c r="F156" s="19">
        <v>208</v>
      </c>
      <c r="G156" s="44">
        <v>0.22376104990000001</v>
      </c>
      <c r="H156" s="45" t="s">
        <v>176</v>
      </c>
      <c r="I156" s="19">
        <v>5</v>
      </c>
    </row>
    <row r="157" spans="1:9" x14ac:dyDescent="0.3">
      <c r="A157" s="19" t="s">
        <v>333</v>
      </c>
      <c r="B157" s="19">
        <v>2195</v>
      </c>
      <c r="C157" s="43">
        <v>10.574590000000001</v>
      </c>
      <c r="D157" s="43">
        <v>0</v>
      </c>
      <c r="E157" s="19">
        <v>0</v>
      </c>
      <c r="F157" s="19">
        <v>396</v>
      </c>
      <c r="G157" s="44">
        <v>0</v>
      </c>
      <c r="H157" s="45" t="s">
        <v>176</v>
      </c>
      <c r="I157" s="19">
        <v>5</v>
      </c>
    </row>
    <row r="158" spans="1:9" x14ac:dyDescent="0.3">
      <c r="A158" s="19" t="s">
        <v>334</v>
      </c>
      <c r="B158" s="19">
        <v>1467</v>
      </c>
      <c r="C158" s="43">
        <v>47.639589999999998</v>
      </c>
      <c r="D158" s="43">
        <v>240</v>
      </c>
      <c r="E158" s="19">
        <v>1</v>
      </c>
      <c r="F158" s="19">
        <v>423</v>
      </c>
      <c r="G158" s="44">
        <v>0.35150170829999999</v>
      </c>
      <c r="H158" s="46" t="s">
        <v>182</v>
      </c>
      <c r="I158" s="19">
        <v>5</v>
      </c>
    </row>
    <row r="159" spans="1:9" x14ac:dyDescent="0.3">
      <c r="A159" s="19" t="s">
        <v>335</v>
      </c>
      <c r="B159" s="19">
        <v>1423</v>
      </c>
      <c r="C159" s="43">
        <v>21.029489999999999</v>
      </c>
      <c r="D159" s="43">
        <v>70.5</v>
      </c>
      <c r="E159" s="19">
        <v>15</v>
      </c>
      <c r="F159" s="19">
        <v>386</v>
      </c>
      <c r="G159" s="44">
        <v>0.25170936170000002</v>
      </c>
      <c r="H159" s="45" t="s">
        <v>176</v>
      </c>
      <c r="I159" s="19">
        <v>5</v>
      </c>
    </row>
    <row r="160" spans="1:9" x14ac:dyDescent="0.3">
      <c r="A160" s="19" t="s">
        <v>336</v>
      </c>
      <c r="B160" s="19">
        <v>1184</v>
      </c>
      <c r="C160" s="43">
        <v>14.12449</v>
      </c>
      <c r="D160" s="43">
        <v>65</v>
      </c>
      <c r="E160" s="19">
        <v>5</v>
      </c>
      <c r="F160" s="19">
        <v>414</v>
      </c>
      <c r="G160" s="44">
        <v>0.33270015380000001</v>
      </c>
      <c r="H160" s="46" t="s">
        <v>182</v>
      </c>
      <c r="I160" s="19">
        <v>10</v>
      </c>
    </row>
    <row r="161" spans="1:9" x14ac:dyDescent="0.3">
      <c r="A161" s="19" t="s">
        <v>337</v>
      </c>
      <c r="B161" s="19">
        <v>1177</v>
      </c>
      <c r="C161" s="43">
        <v>25.593889999999998</v>
      </c>
      <c r="D161" s="43">
        <v>85.937469879999995</v>
      </c>
      <c r="E161" s="19">
        <v>83</v>
      </c>
      <c r="F161" s="19">
        <v>312</v>
      </c>
      <c r="G161" s="44">
        <v>0.25218008469999997</v>
      </c>
      <c r="H161" s="45" t="s">
        <v>176</v>
      </c>
      <c r="I161" s="19">
        <v>5</v>
      </c>
    </row>
    <row r="162" spans="1:9" x14ac:dyDescent="0.3">
      <c r="A162" s="19" t="s">
        <v>338</v>
      </c>
      <c r="B162" s="19">
        <v>1424</v>
      </c>
      <c r="C162" s="43">
        <v>5.7137900000000004</v>
      </c>
      <c r="D162" s="43">
        <v>31</v>
      </c>
      <c r="E162" s="19">
        <v>1</v>
      </c>
      <c r="F162" s="19">
        <v>449</v>
      </c>
      <c r="G162" s="44">
        <v>0.36568419349999998</v>
      </c>
      <c r="H162" s="46" t="s">
        <v>182</v>
      </c>
      <c r="I162" s="19">
        <v>10</v>
      </c>
    </row>
    <row r="163" spans="1:9" x14ac:dyDescent="0.3">
      <c r="A163" s="19" t="s">
        <v>339</v>
      </c>
      <c r="B163" s="19">
        <v>1189</v>
      </c>
      <c r="C163" s="43">
        <v>17.33464</v>
      </c>
      <c r="D163" s="43">
        <v>74.28</v>
      </c>
      <c r="E163" s="19">
        <v>21</v>
      </c>
      <c r="F163" s="19">
        <v>356</v>
      </c>
      <c r="G163" s="44">
        <v>0.3166311255</v>
      </c>
      <c r="H163" s="45" t="s">
        <v>176</v>
      </c>
      <c r="I163" s="19">
        <v>5</v>
      </c>
    </row>
    <row r="164" spans="1:9" x14ac:dyDescent="0.3">
      <c r="A164" s="19" t="s">
        <v>340</v>
      </c>
      <c r="B164" s="19">
        <v>934</v>
      </c>
      <c r="C164" s="43">
        <v>30.009589999999999</v>
      </c>
      <c r="D164" s="43">
        <v>131</v>
      </c>
      <c r="E164" s="19">
        <v>3</v>
      </c>
      <c r="F164" s="19">
        <v>409</v>
      </c>
      <c r="G164" s="44">
        <v>0.32091916030000001</v>
      </c>
      <c r="H164" s="46" t="s">
        <v>182</v>
      </c>
      <c r="I164" s="19">
        <v>10</v>
      </c>
    </row>
    <row r="165" spans="1:9" x14ac:dyDescent="0.3">
      <c r="A165" s="19" t="s">
        <v>341</v>
      </c>
      <c r="B165" s="19">
        <v>948</v>
      </c>
      <c r="C165" s="43">
        <v>21.269590000000001</v>
      </c>
      <c r="D165" s="43">
        <v>72.608571429999998</v>
      </c>
      <c r="E165" s="19">
        <v>21</v>
      </c>
      <c r="F165" s="19">
        <v>369</v>
      </c>
      <c r="G165" s="44">
        <v>0.25706502580000001</v>
      </c>
      <c r="H165" s="45" t="s">
        <v>176</v>
      </c>
      <c r="I165" s="19">
        <v>10</v>
      </c>
    </row>
    <row r="166" spans="1:9" x14ac:dyDescent="0.3">
      <c r="A166" s="19" t="s">
        <v>342</v>
      </c>
      <c r="B166" s="19">
        <v>1123</v>
      </c>
      <c r="C166" s="43">
        <v>10.46416</v>
      </c>
      <c r="D166" s="43">
        <v>55.760714290000003</v>
      </c>
      <c r="E166" s="19">
        <v>56</v>
      </c>
      <c r="F166" s="19">
        <v>252</v>
      </c>
      <c r="G166" s="44">
        <v>0.36233812850000002</v>
      </c>
      <c r="H166" s="45" t="s">
        <v>176</v>
      </c>
      <c r="I166" s="19">
        <v>10</v>
      </c>
    </row>
    <row r="167" spans="1:9" x14ac:dyDescent="0.3">
      <c r="A167" s="19" t="s">
        <v>343</v>
      </c>
      <c r="B167" s="19">
        <v>1011</v>
      </c>
      <c r="C167" s="43">
        <v>0</v>
      </c>
      <c r="D167" s="43">
        <v>0</v>
      </c>
      <c r="E167" s="19">
        <v>0</v>
      </c>
      <c r="F167" s="19">
        <v>468</v>
      </c>
      <c r="G167" s="44">
        <v>0</v>
      </c>
      <c r="H167" s="46" t="s">
        <v>182</v>
      </c>
      <c r="I167" s="19">
        <v>10</v>
      </c>
    </row>
    <row r="168" spans="1:9" x14ac:dyDescent="0.3">
      <c r="A168" s="19" t="s">
        <v>344</v>
      </c>
      <c r="B168" s="19">
        <v>1425</v>
      </c>
      <c r="C168" s="43">
        <v>40.886511200000001</v>
      </c>
      <c r="D168" s="43">
        <v>140.4375</v>
      </c>
      <c r="E168" s="19">
        <v>20</v>
      </c>
      <c r="F168" s="19">
        <v>343</v>
      </c>
      <c r="G168" s="44">
        <v>0.25886329359999999</v>
      </c>
      <c r="H168" s="45" t="s">
        <v>176</v>
      </c>
      <c r="I168" s="19">
        <v>5</v>
      </c>
    </row>
    <row r="169" spans="1:9" x14ac:dyDescent="0.3">
      <c r="A169" s="19" t="s">
        <v>345</v>
      </c>
      <c r="B169" s="19">
        <v>1018</v>
      </c>
      <c r="C169" s="43">
        <v>17.295874999999999</v>
      </c>
      <c r="D169" s="43">
        <v>49.659322029999998</v>
      </c>
      <c r="E169" s="19">
        <v>59</v>
      </c>
      <c r="F169" s="19">
        <v>352</v>
      </c>
      <c r="G169" s="44">
        <v>0.20170940130000001</v>
      </c>
      <c r="H169" s="45" t="s">
        <v>176</v>
      </c>
      <c r="I169" s="19">
        <v>10</v>
      </c>
    </row>
    <row r="170" spans="1:9" x14ac:dyDescent="0.3">
      <c r="A170" s="19" t="s">
        <v>346</v>
      </c>
      <c r="B170" s="19">
        <v>940</v>
      </c>
      <c r="C170" s="43">
        <v>0</v>
      </c>
      <c r="D170" s="43">
        <v>0</v>
      </c>
      <c r="E170" s="19">
        <v>0</v>
      </c>
      <c r="F170" s="19">
        <v>469</v>
      </c>
      <c r="G170" s="44">
        <v>0</v>
      </c>
      <c r="H170" s="46" t="s">
        <v>182</v>
      </c>
      <c r="I170" s="19">
        <v>10</v>
      </c>
    </row>
    <row r="171" spans="1:9" x14ac:dyDescent="0.3">
      <c r="A171" s="19" t="s">
        <v>347</v>
      </c>
      <c r="B171" s="19">
        <v>1102</v>
      </c>
      <c r="C171" s="43">
        <v>37.014589999999998</v>
      </c>
      <c r="D171" s="43">
        <v>0</v>
      </c>
      <c r="E171" s="19">
        <v>0</v>
      </c>
      <c r="F171" s="19">
        <v>470</v>
      </c>
      <c r="G171" s="44">
        <v>0</v>
      </c>
      <c r="H171" s="46" t="s">
        <v>182</v>
      </c>
      <c r="I171" s="19">
        <v>5</v>
      </c>
    </row>
    <row r="172" spans="1:9" x14ac:dyDescent="0.3">
      <c r="A172" s="19" t="s">
        <v>348</v>
      </c>
      <c r="B172" s="19">
        <v>2099</v>
      </c>
      <c r="C172" s="43">
        <v>165.11809</v>
      </c>
      <c r="D172" s="43">
        <v>684</v>
      </c>
      <c r="E172" s="19">
        <v>3</v>
      </c>
      <c r="F172" s="19">
        <v>206</v>
      </c>
      <c r="G172" s="44">
        <v>0.3085992836</v>
      </c>
      <c r="H172" s="45" t="s">
        <v>176</v>
      </c>
      <c r="I172" s="19">
        <v>5</v>
      </c>
    </row>
    <row r="173" spans="1:9" x14ac:dyDescent="0.3">
      <c r="A173" s="19" t="s">
        <v>349</v>
      </c>
      <c r="B173" s="19">
        <v>1130</v>
      </c>
      <c r="C173" s="43">
        <v>10.232290000000001</v>
      </c>
      <c r="D173" s="43">
        <v>98.502857140000003</v>
      </c>
      <c r="E173" s="19">
        <v>7</v>
      </c>
      <c r="F173" s="19">
        <v>381</v>
      </c>
      <c r="G173" s="44">
        <v>0.4461218964</v>
      </c>
      <c r="H173" s="45" t="s">
        <v>176</v>
      </c>
      <c r="I173" s="19">
        <v>10</v>
      </c>
    </row>
    <row r="174" spans="1:9" x14ac:dyDescent="0.3">
      <c r="A174" s="19" t="s">
        <v>350</v>
      </c>
      <c r="B174" s="19">
        <v>976</v>
      </c>
      <c r="C174" s="43">
        <v>12.205956</v>
      </c>
      <c r="D174" s="43">
        <v>0</v>
      </c>
      <c r="E174" s="19">
        <v>0</v>
      </c>
      <c r="F174" s="19">
        <v>471</v>
      </c>
      <c r="G174" s="44">
        <v>0</v>
      </c>
      <c r="H174" s="46" t="s">
        <v>182</v>
      </c>
      <c r="I174" s="19">
        <v>5</v>
      </c>
    </row>
    <row r="175" spans="1:9" x14ac:dyDescent="0.3">
      <c r="A175" s="19" t="s">
        <v>351</v>
      </c>
      <c r="B175" s="19">
        <v>1014</v>
      </c>
      <c r="C175" s="43">
        <v>15.01989</v>
      </c>
      <c r="D175" s="43">
        <v>60.375</v>
      </c>
      <c r="E175" s="19">
        <v>8</v>
      </c>
      <c r="F175" s="19">
        <v>405</v>
      </c>
      <c r="G175" s="44">
        <v>0.301223354</v>
      </c>
      <c r="H175" s="46" t="s">
        <v>182</v>
      </c>
      <c r="I175" s="19">
        <v>5</v>
      </c>
    </row>
    <row r="176" spans="1:9" x14ac:dyDescent="0.3">
      <c r="A176" s="19" t="s">
        <v>352</v>
      </c>
      <c r="B176" s="19">
        <v>1013</v>
      </c>
      <c r="C176" s="43">
        <v>16.320489999999999</v>
      </c>
      <c r="D176" s="43">
        <v>61.492972969999997</v>
      </c>
      <c r="E176" s="19">
        <v>37</v>
      </c>
      <c r="F176" s="19">
        <v>350</v>
      </c>
      <c r="G176" s="44">
        <v>0.2845958536</v>
      </c>
      <c r="H176" s="45" t="s">
        <v>176</v>
      </c>
      <c r="I176" s="19">
        <v>5</v>
      </c>
    </row>
    <row r="177" spans="1:9" x14ac:dyDescent="0.3">
      <c r="A177" s="19" t="s">
        <v>353</v>
      </c>
      <c r="B177" s="19">
        <v>1426</v>
      </c>
      <c r="C177" s="43">
        <v>37.631390000000003</v>
      </c>
      <c r="D177" s="43">
        <v>60.451818179999997</v>
      </c>
      <c r="E177" s="19">
        <v>33</v>
      </c>
      <c r="F177" s="19">
        <v>494</v>
      </c>
      <c r="G177" s="44">
        <v>-7.2502203109999996E-2</v>
      </c>
      <c r="H177" s="45" t="s">
        <v>176</v>
      </c>
      <c r="I177" s="19">
        <v>10</v>
      </c>
    </row>
    <row r="178" spans="1:9" x14ac:dyDescent="0.3">
      <c r="A178" s="19" t="s">
        <v>354</v>
      </c>
      <c r="B178" s="19">
        <v>1190</v>
      </c>
      <c r="C178" s="43">
        <v>21.269590000000001</v>
      </c>
      <c r="D178" s="43">
        <v>87.249666669999996</v>
      </c>
      <c r="E178" s="19">
        <v>30</v>
      </c>
      <c r="F178" s="19">
        <v>334</v>
      </c>
      <c r="G178" s="44">
        <v>0.30622153279999997</v>
      </c>
      <c r="H178" s="45" t="s">
        <v>176</v>
      </c>
      <c r="I178" s="19">
        <v>5</v>
      </c>
    </row>
    <row r="179" spans="1:9" x14ac:dyDescent="0.3">
      <c r="A179" s="19" t="s">
        <v>355</v>
      </c>
      <c r="B179" s="19">
        <v>2175</v>
      </c>
      <c r="C179" s="43">
        <v>11.77769</v>
      </c>
      <c r="D179" s="43">
        <v>43.214285709999999</v>
      </c>
      <c r="E179" s="19">
        <v>7</v>
      </c>
      <c r="F179" s="19">
        <v>424</v>
      </c>
      <c r="G179" s="44">
        <v>0.27745841319999998</v>
      </c>
      <c r="H179" s="46" t="s">
        <v>182</v>
      </c>
      <c r="I179" s="19">
        <v>5</v>
      </c>
    </row>
    <row r="180" spans="1:9" x14ac:dyDescent="0.3">
      <c r="A180" s="19" t="s">
        <v>356</v>
      </c>
      <c r="B180" s="19">
        <v>1924</v>
      </c>
      <c r="C180" s="43">
        <v>33.162486000000001</v>
      </c>
      <c r="D180" s="43">
        <v>0</v>
      </c>
      <c r="E180" s="19">
        <v>0</v>
      </c>
      <c r="F180" s="19">
        <v>472</v>
      </c>
      <c r="G180" s="44">
        <v>0</v>
      </c>
      <c r="H180" s="46" t="s">
        <v>182</v>
      </c>
      <c r="I180" s="19">
        <v>5</v>
      </c>
    </row>
    <row r="181" spans="1:9" x14ac:dyDescent="0.3">
      <c r="A181" s="19" t="s">
        <v>357</v>
      </c>
      <c r="B181" s="19">
        <v>2071</v>
      </c>
      <c r="C181" s="43">
        <v>25.531389999999998</v>
      </c>
      <c r="D181" s="43">
        <v>35.75</v>
      </c>
      <c r="E181" s="19">
        <v>6</v>
      </c>
      <c r="F181" s="19">
        <v>492</v>
      </c>
      <c r="G181" s="44">
        <v>-0.16416475520000001</v>
      </c>
      <c r="H181" s="46" t="s">
        <v>182</v>
      </c>
      <c r="I181" s="19">
        <v>5</v>
      </c>
    </row>
    <row r="182" spans="1:9" x14ac:dyDescent="0.3">
      <c r="A182" s="19" t="s">
        <v>358</v>
      </c>
      <c r="B182" s="19">
        <v>2079</v>
      </c>
      <c r="C182" s="43">
        <v>1.26959</v>
      </c>
      <c r="D182" s="43">
        <v>32.5</v>
      </c>
      <c r="E182" s="19">
        <v>3</v>
      </c>
      <c r="F182" s="19">
        <v>437</v>
      </c>
      <c r="G182" s="44">
        <v>0.51093569230000002</v>
      </c>
      <c r="H182" s="46" t="s">
        <v>182</v>
      </c>
      <c r="I182" s="19">
        <v>10</v>
      </c>
    </row>
    <row r="183" spans="1:9" x14ac:dyDescent="0.3">
      <c r="A183" s="19" t="s">
        <v>359</v>
      </c>
      <c r="B183" s="19">
        <v>1091</v>
      </c>
      <c r="C183" s="43">
        <v>7.6667500000000004</v>
      </c>
      <c r="D183" s="43">
        <v>34.542857140000002</v>
      </c>
      <c r="E183" s="19">
        <v>70</v>
      </c>
      <c r="F183" s="19">
        <v>335</v>
      </c>
      <c r="G183" s="44">
        <v>0.32805107529999999</v>
      </c>
      <c r="H183" s="45" t="s">
        <v>176</v>
      </c>
      <c r="I183" s="19">
        <v>10</v>
      </c>
    </row>
    <row r="184" spans="1:9" x14ac:dyDescent="0.3">
      <c r="A184" s="19" t="s">
        <v>360</v>
      </c>
      <c r="B184" s="19">
        <v>1008</v>
      </c>
      <c r="C184" s="43">
        <v>14.31959</v>
      </c>
      <c r="D184" s="43">
        <v>54.812800000000003</v>
      </c>
      <c r="E184" s="19">
        <v>50</v>
      </c>
      <c r="F184" s="19">
        <v>336</v>
      </c>
      <c r="G184" s="44">
        <v>0.28875463400000001</v>
      </c>
      <c r="H184" s="45" t="s">
        <v>176</v>
      </c>
      <c r="I184" s="19">
        <v>10</v>
      </c>
    </row>
    <row r="185" spans="1:9" x14ac:dyDescent="0.3">
      <c r="A185" s="19" t="s">
        <v>361</v>
      </c>
      <c r="B185" s="19">
        <v>1238</v>
      </c>
      <c r="C185" s="43">
        <v>51.03443</v>
      </c>
      <c r="D185" s="43">
        <v>209.84549999999999</v>
      </c>
      <c r="E185" s="19">
        <v>40</v>
      </c>
      <c r="F185" s="19">
        <v>155</v>
      </c>
      <c r="G185" s="44">
        <v>0.306799979</v>
      </c>
      <c r="H185" s="45" t="s">
        <v>176</v>
      </c>
      <c r="I185" s="19">
        <v>10</v>
      </c>
    </row>
    <row r="186" spans="1:9" x14ac:dyDescent="0.3">
      <c r="A186" s="19" t="s">
        <v>362</v>
      </c>
      <c r="B186" s="19">
        <v>1237</v>
      </c>
      <c r="C186" s="43">
        <v>248.41459</v>
      </c>
      <c r="D186" s="43">
        <v>899.1</v>
      </c>
      <c r="E186" s="19">
        <v>2</v>
      </c>
      <c r="F186" s="19">
        <v>357</v>
      </c>
      <c r="G186" s="44">
        <v>0.27370749640000003</v>
      </c>
      <c r="H186" s="45" t="s">
        <v>176</v>
      </c>
      <c r="I186" s="19">
        <v>5</v>
      </c>
    </row>
    <row r="187" spans="1:9" x14ac:dyDescent="0.3">
      <c r="A187" s="19" t="s">
        <v>363</v>
      </c>
      <c r="B187" s="19">
        <v>1976</v>
      </c>
      <c r="C187" s="43">
        <v>12.831390000000001</v>
      </c>
      <c r="D187" s="43">
        <v>53.95</v>
      </c>
      <c r="E187" s="19">
        <v>10</v>
      </c>
      <c r="F187" s="19">
        <v>399</v>
      </c>
      <c r="G187" s="44">
        <v>0.31216144579999999</v>
      </c>
      <c r="H187" s="45" t="s">
        <v>176</v>
      </c>
      <c r="I187" s="19">
        <v>10</v>
      </c>
    </row>
    <row r="188" spans="1:9" x14ac:dyDescent="0.3">
      <c r="A188" s="19" t="s">
        <v>364</v>
      </c>
      <c r="B188" s="19">
        <v>2190</v>
      </c>
      <c r="C188" s="43">
        <v>7.0995900000000001</v>
      </c>
      <c r="D188" s="43">
        <v>0</v>
      </c>
      <c r="E188" s="19">
        <v>0</v>
      </c>
      <c r="F188" s="19" t="s">
        <v>181</v>
      </c>
      <c r="G188" s="44">
        <v>0</v>
      </c>
      <c r="H188" s="46" t="s">
        <v>182</v>
      </c>
      <c r="I188" s="19">
        <v>5</v>
      </c>
    </row>
    <row r="189" spans="1:9" x14ac:dyDescent="0.3">
      <c r="A189" s="19" t="s">
        <v>365</v>
      </c>
      <c r="B189" s="19">
        <v>2109</v>
      </c>
      <c r="C189" s="43">
        <v>7.4825900000000001</v>
      </c>
      <c r="D189" s="43">
        <v>30.470370370000001</v>
      </c>
      <c r="E189" s="19">
        <v>27</v>
      </c>
      <c r="F189" s="19">
        <v>388</v>
      </c>
      <c r="G189" s="44">
        <v>0.30443061869999999</v>
      </c>
      <c r="H189" s="45" t="s">
        <v>176</v>
      </c>
      <c r="I189" s="19">
        <v>5</v>
      </c>
    </row>
    <row r="190" spans="1:9" x14ac:dyDescent="0.3">
      <c r="A190" s="19" t="s">
        <v>366</v>
      </c>
      <c r="B190" s="19">
        <v>973</v>
      </c>
      <c r="C190" s="43">
        <v>1.26959</v>
      </c>
      <c r="D190" s="43">
        <v>106.4</v>
      </c>
      <c r="E190" s="19">
        <v>2</v>
      </c>
      <c r="F190" s="19">
        <v>413</v>
      </c>
      <c r="G190" s="44">
        <v>0.53806776320000005</v>
      </c>
      <c r="H190" s="46" t="s">
        <v>182</v>
      </c>
      <c r="I190" s="19">
        <v>5</v>
      </c>
    </row>
    <row r="191" spans="1:9" x14ac:dyDescent="0.3">
      <c r="A191" s="19" t="s">
        <v>367</v>
      </c>
      <c r="B191" s="19">
        <v>1161</v>
      </c>
      <c r="C191" s="43">
        <v>15.529044000000001</v>
      </c>
      <c r="D191" s="43">
        <v>74.028974360000007</v>
      </c>
      <c r="E191" s="19">
        <v>78</v>
      </c>
      <c r="F191" s="19">
        <v>236</v>
      </c>
      <c r="G191" s="44">
        <v>0.34023018849999997</v>
      </c>
      <c r="H191" s="45" t="s">
        <v>176</v>
      </c>
      <c r="I191" s="19">
        <v>5</v>
      </c>
    </row>
    <row r="192" spans="1:9" x14ac:dyDescent="0.3">
      <c r="A192" s="19" t="s">
        <v>368</v>
      </c>
      <c r="B192" s="19">
        <v>2080</v>
      </c>
      <c r="C192" s="43">
        <v>8.1447900000000004</v>
      </c>
      <c r="D192" s="43">
        <v>27</v>
      </c>
      <c r="E192" s="19">
        <v>1</v>
      </c>
      <c r="F192" s="19">
        <v>454</v>
      </c>
      <c r="G192" s="44">
        <v>0.24834111110000001</v>
      </c>
      <c r="H192" s="46" t="s">
        <v>182</v>
      </c>
      <c r="I192" s="19">
        <v>5</v>
      </c>
    </row>
    <row r="193" spans="1:9" x14ac:dyDescent="0.3">
      <c r="A193" s="19" t="s">
        <v>369</v>
      </c>
      <c r="B193" s="19">
        <v>773</v>
      </c>
      <c r="C193" s="43">
        <v>28.7938595</v>
      </c>
      <c r="D193" s="43">
        <v>158.57311480000001</v>
      </c>
      <c r="E193" s="19">
        <v>61</v>
      </c>
      <c r="F193" s="19">
        <v>130</v>
      </c>
      <c r="G193" s="44">
        <v>0.36841903310000002</v>
      </c>
      <c r="H193" s="45" t="s">
        <v>176</v>
      </c>
      <c r="I193" s="19">
        <v>5</v>
      </c>
    </row>
    <row r="194" spans="1:9" x14ac:dyDescent="0.3">
      <c r="A194" s="19" t="s">
        <v>370</v>
      </c>
      <c r="B194" s="19">
        <v>2177</v>
      </c>
      <c r="C194" s="43">
        <v>8.5383600000000008</v>
      </c>
      <c r="D194" s="43">
        <v>0</v>
      </c>
      <c r="E194" s="19">
        <v>0</v>
      </c>
      <c r="F194" s="19">
        <v>473</v>
      </c>
      <c r="G194" s="44">
        <v>0</v>
      </c>
      <c r="H194" s="46" t="s">
        <v>182</v>
      </c>
      <c r="I194" s="19">
        <v>10</v>
      </c>
    </row>
    <row r="195" spans="1:9" x14ac:dyDescent="0.3">
      <c r="A195" s="19" t="s">
        <v>371</v>
      </c>
      <c r="B195" s="19">
        <v>978</v>
      </c>
      <c r="C195" s="43">
        <v>58.344589999999997</v>
      </c>
      <c r="D195" s="43">
        <v>207.27416669999999</v>
      </c>
      <c r="E195" s="19">
        <v>12</v>
      </c>
      <c r="F195" s="19">
        <v>348</v>
      </c>
      <c r="G195" s="44">
        <v>0.26851489769999998</v>
      </c>
      <c r="H195" s="45" t="s">
        <v>176</v>
      </c>
      <c r="I195" s="19">
        <v>5</v>
      </c>
    </row>
    <row r="196" spans="1:9" x14ac:dyDescent="0.3">
      <c r="A196" s="19" t="s">
        <v>372</v>
      </c>
      <c r="B196" s="19">
        <v>919</v>
      </c>
      <c r="C196" s="43">
        <v>31.855589999999999</v>
      </c>
      <c r="D196" s="43">
        <v>0</v>
      </c>
      <c r="E196" s="19">
        <v>0</v>
      </c>
      <c r="F196" s="19">
        <v>490</v>
      </c>
      <c r="G196" s="44">
        <v>0</v>
      </c>
      <c r="H196" s="46" t="s">
        <v>182</v>
      </c>
      <c r="I196" s="19">
        <v>10</v>
      </c>
    </row>
    <row r="197" spans="1:9" x14ac:dyDescent="0.3">
      <c r="A197" s="19" t="s">
        <v>373</v>
      </c>
      <c r="B197" s="19">
        <v>2098</v>
      </c>
      <c r="C197" s="43">
        <v>6.1795900000000001</v>
      </c>
      <c r="D197" s="43">
        <v>35.026666669999997</v>
      </c>
      <c r="E197" s="19">
        <v>9</v>
      </c>
      <c r="F197" s="19">
        <v>412</v>
      </c>
      <c r="G197" s="44">
        <v>0.37357470500000001</v>
      </c>
      <c r="H197" s="46" t="s">
        <v>182</v>
      </c>
      <c r="I197" s="19">
        <v>10</v>
      </c>
    </row>
    <row r="198" spans="1:9" x14ac:dyDescent="0.3">
      <c r="A198" s="19" t="s">
        <v>374</v>
      </c>
      <c r="B198" s="19">
        <v>902</v>
      </c>
      <c r="C198" s="43">
        <v>44.55959</v>
      </c>
      <c r="D198" s="43">
        <v>155.98074070000001</v>
      </c>
      <c r="E198" s="19">
        <v>27</v>
      </c>
      <c r="F198" s="19">
        <v>196</v>
      </c>
      <c r="G198" s="44">
        <v>0.26432633420000001</v>
      </c>
      <c r="H198" s="45" t="s">
        <v>176</v>
      </c>
      <c r="I198" s="19">
        <v>5</v>
      </c>
    </row>
    <row r="199" spans="1:9" x14ac:dyDescent="0.3">
      <c r="A199" s="19" t="s">
        <v>375</v>
      </c>
      <c r="B199" s="19">
        <v>2159</v>
      </c>
      <c r="C199" s="43">
        <v>12.097490000000001</v>
      </c>
      <c r="D199" s="43">
        <v>39.966666670000002</v>
      </c>
      <c r="E199" s="19">
        <v>15</v>
      </c>
      <c r="F199" s="19">
        <v>404</v>
      </c>
      <c r="G199" s="44">
        <v>0.2473105088</v>
      </c>
      <c r="H199" s="45" t="s">
        <v>176</v>
      </c>
      <c r="I199" s="19">
        <v>5</v>
      </c>
    </row>
    <row r="200" spans="1:9" x14ac:dyDescent="0.3">
      <c r="A200" s="19" t="s">
        <v>376</v>
      </c>
      <c r="B200" s="19">
        <v>967</v>
      </c>
      <c r="C200" s="43">
        <v>27.277290000000001</v>
      </c>
      <c r="D200" s="43">
        <v>107.29888889999999</v>
      </c>
      <c r="E200" s="19">
        <v>9</v>
      </c>
      <c r="F200" s="19">
        <v>383</v>
      </c>
      <c r="G200" s="44">
        <v>0.29578217649999999</v>
      </c>
      <c r="H200" s="45" t="s">
        <v>176</v>
      </c>
      <c r="I200" s="19">
        <v>10</v>
      </c>
    </row>
    <row r="201" spans="1:9" x14ac:dyDescent="0.3">
      <c r="A201" s="19" t="s">
        <v>377</v>
      </c>
      <c r="B201" s="19">
        <v>1217</v>
      </c>
      <c r="C201" s="43">
        <v>20.555641999999999</v>
      </c>
      <c r="D201" s="43">
        <v>138.64500000000001</v>
      </c>
      <c r="E201" s="19">
        <v>4</v>
      </c>
      <c r="F201" s="19">
        <v>391</v>
      </c>
      <c r="G201" s="44">
        <v>0.40173903129999999</v>
      </c>
      <c r="H201" s="45" t="s">
        <v>176</v>
      </c>
      <c r="I201" s="19">
        <v>5</v>
      </c>
    </row>
    <row r="202" spans="1:9" x14ac:dyDescent="0.3">
      <c r="A202" s="19" t="s">
        <v>378</v>
      </c>
      <c r="B202" s="19">
        <v>1219</v>
      </c>
      <c r="C202" s="43">
        <v>12.22339</v>
      </c>
      <c r="D202" s="43">
        <v>66.456774190000004</v>
      </c>
      <c r="E202" s="19">
        <v>31</v>
      </c>
      <c r="F202" s="19">
        <v>340</v>
      </c>
      <c r="G202" s="44">
        <v>0.36607006739999998</v>
      </c>
      <c r="H202" s="45" t="s">
        <v>176</v>
      </c>
      <c r="I202" s="19">
        <v>5</v>
      </c>
    </row>
    <row r="203" spans="1:9" x14ac:dyDescent="0.3">
      <c r="A203" s="19" t="s">
        <v>379</v>
      </c>
      <c r="B203" s="19">
        <v>1012</v>
      </c>
      <c r="C203" s="43">
        <v>7.9495899999999997</v>
      </c>
      <c r="D203" s="43">
        <v>40.974444439999999</v>
      </c>
      <c r="E203" s="19">
        <v>18</v>
      </c>
      <c r="F203" s="19">
        <v>387</v>
      </c>
      <c r="G203" s="44">
        <v>0.35598663120000001</v>
      </c>
      <c r="H203" s="45" t="s">
        <v>176</v>
      </c>
      <c r="I203" s="19">
        <v>5</v>
      </c>
    </row>
    <row r="204" spans="1:9" x14ac:dyDescent="0.3">
      <c r="A204" s="19" t="s">
        <v>380</v>
      </c>
      <c r="B204" s="19">
        <v>2158</v>
      </c>
      <c r="C204" s="43">
        <v>21.506789999999999</v>
      </c>
      <c r="D204" s="43">
        <v>62.4</v>
      </c>
      <c r="E204" s="19">
        <v>14</v>
      </c>
      <c r="F204" s="19">
        <v>397</v>
      </c>
      <c r="G204" s="44">
        <v>0.2053399038</v>
      </c>
      <c r="H204" s="45" t="s">
        <v>176</v>
      </c>
      <c r="I204" s="19">
        <v>10</v>
      </c>
    </row>
    <row r="205" spans="1:9" x14ac:dyDescent="0.3">
      <c r="A205" s="19" t="s">
        <v>381</v>
      </c>
      <c r="B205" s="19">
        <v>2082</v>
      </c>
      <c r="C205" s="43">
        <v>16.930489999999999</v>
      </c>
      <c r="D205" s="43">
        <v>0</v>
      </c>
      <c r="E205" s="19">
        <v>0</v>
      </c>
      <c r="F205" s="19">
        <v>474</v>
      </c>
      <c r="G205" s="44">
        <v>0</v>
      </c>
      <c r="H205" s="46" t="s">
        <v>182</v>
      </c>
      <c r="I205" s="19">
        <v>10</v>
      </c>
    </row>
    <row r="206" spans="1:9" x14ac:dyDescent="0.3">
      <c r="A206" s="19" t="s">
        <v>382</v>
      </c>
      <c r="B206" s="19">
        <v>1160</v>
      </c>
      <c r="C206" s="43">
        <v>12.74699</v>
      </c>
      <c r="D206" s="43">
        <v>67.702380950000006</v>
      </c>
      <c r="E206" s="19">
        <v>105</v>
      </c>
      <c r="F206" s="19">
        <v>156</v>
      </c>
      <c r="G206" s="44">
        <v>0.36172021100000001</v>
      </c>
      <c r="H206" s="45" t="s">
        <v>176</v>
      </c>
      <c r="I206" s="19">
        <v>10</v>
      </c>
    </row>
    <row r="207" spans="1:9" x14ac:dyDescent="0.3">
      <c r="A207" s="19" t="s">
        <v>383</v>
      </c>
      <c r="B207" s="19">
        <v>1033</v>
      </c>
      <c r="C207" s="43">
        <v>39.866289999999999</v>
      </c>
      <c r="D207" s="43">
        <v>77.5</v>
      </c>
      <c r="E207" s="19">
        <v>3</v>
      </c>
      <c r="F207" s="19">
        <v>452</v>
      </c>
      <c r="G207" s="44">
        <v>3.5596258059999997E-2</v>
      </c>
      <c r="H207" s="46" t="s">
        <v>182</v>
      </c>
      <c r="I207" s="19">
        <v>5</v>
      </c>
    </row>
    <row r="208" spans="1:9" x14ac:dyDescent="0.3">
      <c r="A208" s="19" t="s">
        <v>384</v>
      </c>
      <c r="B208" s="19">
        <v>2097</v>
      </c>
      <c r="C208" s="43">
        <v>32.389589999999998</v>
      </c>
      <c r="D208" s="43">
        <v>105.12</v>
      </c>
      <c r="E208" s="19">
        <v>16</v>
      </c>
      <c r="F208" s="19">
        <v>365</v>
      </c>
      <c r="G208" s="44">
        <v>0.2418798516</v>
      </c>
      <c r="H208" s="45" t="s">
        <v>176</v>
      </c>
      <c r="I208" s="19">
        <v>10</v>
      </c>
    </row>
    <row r="209" spans="1:9" x14ac:dyDescent="0.3">
      <c r="A209" s="19" t="s">
        <v>385</v>
      </c>
      <c r="B209" s="19">
        <v>2186</v>
      </c>
      <c r="C209" s="43">
        <v>22.050599999999999</v>
      </c>
      <c r="D209" s="43">
        <v>0</v>
      </c>
      <c r="E209" s="19">
        <v>0</v>
      </c>
      <c r="F209" s="19">
        <v>307</v>
      </c>
      <c r="G209" s="44">
        <v>0</v>
      </c>
      <c r="H209" s="45" t="s">
        <v>176</v>
      </c>
      <c r="I209" s="19">
        <v>5</v>
      </c>
    </row>
    <row r="210" spans="1:9" x14ac:dyDescent="0.3">
      <c r="A210" s="19" t="s">
        <v>385</v>
      </c>
      <c r="B210" s="19">
        <v>2186</v>
      </c>
      <c r="C210" s="43">
        <v>22.050599999999999</v>
      </c>
      <c r="D210" s="43">
        <v>0</v>
      </c>
      <c r="E210" s="19">
        <v>0</v>
      </c>
      <c r="F210" s="19">
        <v>307</v>
      </c>
      <c r="G210" s="44">
        <v>0</v>
      </c>
      <c r="H210" s="45" t="s">
        <v>176</v>
      </c>
      <c r="I210" s="19">
        <v>5</v>
      </c>
    </row>
    <row r="211" spans="1:9" x14ac:dyDescent="0.3">
      <c r="A211" s="19" t="s">
        <v>386</v>
      </c>
      <c r="B211" s="19">
        <v>2201</v>
      </c>
      <c r="C211" s="43">
        <v>4.0910200000000003</v>
      </c>
      <c r="D211" s="43">
        <v>0</v>
      </c>
      <c r="E211" s="19">
        <v>0</v>
      </c>
      <c r="F211" s="19">
        <v>220</v>
      </c>
      <c r="G211" s="44">
        <v>0</v>
      </c>
      <c r="H211" s="45" t="s">
        <v>176</v>
      </c>
      <c r="I211" s="19">
        <v>100</v>
      </c>
    </row>
    <row r="212" spans="1:9" x14ac:dyDescent="0.3">
      <c r="A212" s="19" t="s">
        <v>387</v>
      </c>
      <c r="B212" s="19">
        <v>2200</v>
      </c>
      <c r="C212" s="43">
        <v>4.4910199999999998</v>
      </c>
      <c r="D212" s="43">
        <v>0</v>
      </c>
      <c r="E212" s="19">
        <v>0</v>
      </c>
      <c r="F212" s="19">
        <v>221</v>
      </c>
      <c r="G212" s="44">
        <v>0</v>
      </c>
      <c r="H212" s="45" t="s">
        <v>176</v>
      </c>
      <c r="I212" s="19">
        <v>100</v>
      </c>
    </row>
    <row r="213" spans="1:9" x14ac:dyDescent="0.3">
      <c r="A213" s="19" t="s">
        <v>388</v>
      </c>
      <c r="B213" s="19">
        <v>2199</v>
      </c>
      <c r="C213" s="43">
        <v>4.0904249999999998</v>
      </c>
      <c r="D213" s="43">
        <v>0</v>
      </c>
      <c r="E213" s="19">
        <v>0</v>
      </c>
      <c r="F213" s="19">
        <v>222</v>
      </c>
      <c r="G213" s="44">
        <v>0</v>
      </c>
      <c r="H213" s="45" t="s">
        <v>176</v>
      </c>
      <c r="I213" s="19">
        <v>100</v>
      </c>
    </row>
    <row r="214" spans="1:9" x14ac:dyDescent="0.3">
      <c r="A214" s="19" t="s">
        <v>389</v>
      </c>
      <c r="B214" s="19">
        <v>780</v>
      </c>
      <c r="C214" s="43">
        <v>64.680000000000007</v>
      </c>
      <c r="D214" s="43">
        <v>276.56024100000002</v>
      </c>
      <c r="E214" s="19">
        <v>83</v>
      </c>
      <c r="F214" s="19">
        <v>66</v>
      </c>
      <c r="G214" s="44">
        <v>0.31612690319999998</v>
      </c>
      <c r="H214" s="45" t="s">
        <v>176</v>
      </c>
      <c r="I214" s="19">
        <v>10</v>
      </c>
    </row>
    <row r="215" spans="1:9" x14ac:dyDescent="0.3">
      <c r="A215" s="19" t="s">
        <v>390</v>
      </c>
      <c r="B215" s="19">
        <v>1031</v>
      </c>
      <c r="C215" s="43">
        <v>0</v>
      </c>
      <c r="D215" s="43">
        <v>97.445833329999999</v>
      </c>
      <c r="E215" s="19">
        <v>24</v>
      </c>
      <c r="F215" s="19">
        <v>59</v>
      </c>
      <c r="G215" s="44">
        <v>0.55000000000000004</v>
      </c>
      <c r="H215" s="45" t="s">
        <v>176</v>
      </c>
      <c r="I215" s="19">
        <v>10</v>
      </c>
    </row>
    <row r="216" spans="1:9" x14ac:dyDescent="0.3">
      <c r="A216" s="19" t="s">
        <v>391</v>
      </c>
      <c r="B216" s="19">
        <v>852</v>
      </c>
      <c r="C216" s="43">
        <v>0</v>
      </c>
      <c r="D216" s="43">
        <v>231.4671937</v>
      </c>
      <c r="E216" s="19">
        <v>506</v>
      </c>
      <c r="F216" s="19">
        <v>4</v>
      </c>
      <c r="G216" s="44">
        <v>0.55000000000000004</v>
      </c>
      <c r="H216" s="45" t="s">
        <v>176</v>
      </c>
      <c r="I216" s="19">
        <v>10</v>
      </c>
    </row>
    <row r="217" spans="1:9" x14ac:dyDescent="0.3">
      <c r="A217" s="19" t="s">
        <v>392</v>
      </c>
      <c r="B217" s="19">
        <v>2046</v>
      </c>
      <c r="C217" s="43">
        <v>0</v>
      </c>
      <c r="D217" s="43">
        <v>4.5943750000000003</v>
      </c>
      <c r="E217" s="19">
        <v>48</v>
      </c>
      <c r="F217" s="19">
        <v>411</v>
      </c>
      <c r="G217" s="44">
        <v>0.55000000000000004</v>
      </c>
      <c r="H217" s="45" t="s">
        <v>176</v>
      </c>
      <c r="I217" s="19">
        <v>10</v>
      </c>
    </row>
    <row r="218" spans="1:9" x14ac:dyDescent="0.3">
      <c r="A218" s="19" t="s">
        <v>393</v>
      </c>
      <c r="B218" s="19">
        <v>796</v>
      </c>
      <c r="C218" s="43">
        <v>0</v>
      </c>
      <c r="D218" s="43">
        <v>441.22666670000001</v>
      </c>
      <c r="E218" s="19">
        <v>3</v>
      </c>
      <c r="F218" s="19">
        <v>270</v>
      </c>
      <c r="G218" s="44">
        <v>0.55000000000000004</v>
      </c>
      <c r="H218" s="45" t="s">
        <v>176</v>
      </c>
      <c r="I218" s="19">
        <v>5</v>
      </c>
    </row>
    <row r="219" spans="1:9" x14ac:dyDescent="0.3">
      <c r="A219" s="19" t="s">
        <v>394</v>
      </c>
      <c r="B219" s="19">
        <v>1171</v>
      </c>
      <c r="C219" s="43">
        <v>33.596285999999999</v>
      </c>
      <c r="D219" s="43">
        <v>1.1666666670000001</v>
      </c>
      <c r="E219" s="19">
        <v>30</v>
      </c>
      <c r="F219" s="19">
        <v>234</v>
      </c>
      <c r="G219" s="44">
        <v>-28.24681657</v>
      </c>
      <c r="H219" s="45" t="s">
        <v>176</v>
      </c>
      <c r="I219" s="19">
        <v>10</v>
      </c>
    </row>
    <row r="220" spans="1:9" x14ac:dyDescent="0.3">
      <c r="A220" s="19" t="s">
        <v>395</v>
      </c>
      <c r="B220" s="19">
        <v>2127</v>
      </c>
      <c r="C220" s="43">
        <v>47.67</v>
      </c>
      <c r="D220" s="43">
        <v>1</v>
      </c>
      <c r="E220" s="19">
        <v>3</v>
      </c>
      <c r="F220" s="19">
        <v>233</v>
      </c>
      <c r="G220" s="44">
        <v>-47.12</v>
      </c>
      <c r="H220" s="45" t="s">
        <v>176</v>
      </c>
      <c r="I220" s="19">
        <v>3</v>
      </c>
    </row>
    <row r="221" spans="1:9" x14ac:dyDescent="0.3">
      <c r="A221" s="19" t="s">
        <v>396</v>
      </c>
      <c r="B221" s="19">
        <v>1100</v>
      </c>
      <c r="C221" s="43">
        <v>31.43</v>
      </c>
      <c r="D221" s="43">
        <v>152.07179489999999</v>
      </c>
      <c r="E221" s="19">
        <v>195</v>
      </c>
      <c r="F221" s="19">
        <v>7</v>
      </c>
      <c r="G221" s="44">
        <v>0.34332130570000002</v>
      </c>
      <c r="H221" s="45" t="s">
        <v>176</v>
      </c>
      <c r="I221" s="19">
        <v>10</v>
      </c>
    </row>
    <row r="222" spans="1:9" x14ac:dyDescent="0.3">
      <c r="A222" s="19" t="s">
        <v>397</v>
      </c>
      <c r="B222" s="19">
        <v>1624</v>
      </c>
      <c r="C222" s="43">
        <v>12.9</v>
      </c>
      <c r="D222" s="43">
        <v>139.59</v>
      </c>
      <c r="E222" s="19">
        <v>10</v>
      </c>
      <c r="F222" s="19">
        <v>68</v>
      </c>
      <c r="G222" s="44">
        <v>0.4575865033</v>
      </c>
      <c r="H222" s="45" t="s">
        <v>176</v>
      </c>
      <c r="I222" s="19">
        <v>10</v>
      </c>
    </row>
    <row r="223" spans="1:9" x14ac:dyDescent="0.3">
      <c r="A223" s="19" t="s">
        <v>398</v>
      </c>
      <c r="B223" s="19">
        <v>1181</v>
      </c>
      <c r="C223" s="43">
        <v>10.45</v>
      </c>
      <c r="D223" s="43">
        <v>43.41731266</v>
      </c>
      <c r="E223" s="19">
        <v>387</v>
      </c>
      <c r="F223" s="19">
        <v>8</v>
      </c>
      <c r="G223" s="44">
        <v>0.30931260230000002</v>
      </c>
      <c r="H223" s="45" t="s">
        <v>176</v>
      </c>
      <c r="I223" s="19">
        <v>10</v>
      </c>
    </row>
    <row r="224" spans="1:9" x14ac:dyDescent="0.3">
      <c r="A224" s="19" t="s">
        <v>399</v>
      </c>
      <c r="B224" s="19">
        <v>823</v>
      </c>
      <c r="C224" s="43">
        <v>32.54</v>
      </c>
      <c r="D224" s="43">
        <v>79.377762799999999</v>
      </c>
      <c r="E224" s="19">
        <v>742</v>
      </c>
      <c r="F224" s="19">
        <v>1</v>
      </c>
      <c r="G224" s="44">
        <v>0.14006151280000001</v>
      </c>
      <c r="H224" s="45" t="s">
        <v>176</v>
      </c>
      <c r="I224" s="19">
        <v>10</v>
      </c>
    </row>
    <row r="225" spans="1:9" x14ac:dyDescent="0.3">
      <c r="A225" s="19" t="s">
        <v>400</v>
      </c>
      <c r="B225" s="19">
        <v>2111</v>
      </c>
      <c r="C225" s="43">
        <v>24.2</v>
      </c>
      <c r="D225" s="43">
        <v>93.779430599999998</v>
      </c>
      <c r="E225" s="19">
        <v>843</v>
      </c>
      <c r="F225" s="19">
        <v>3</v>
      </c>
      <c r="G225" s="44">
        <v>0.2919476761</v>
      </c>
      <c r="H225" s="45" t="s">
        <v>176</v>
      </c>
      <c r="I225" s="19">
        <v>10</v>
      </c>
    </row>
    <row r="226" spans="1:9" x14ac:dyDescent="0.3">
      <c r="A226" s="19" t="s">
        <v>401</v>
      </c>
      <c r="B226" s="19">
        <v>816</v>
      </c>
      <c r="C226" s="43">
        <v>9.1013900000000003</v>
      </c>
      <c r="D226" s="43">
        <v>49.319748269999998</v>
      </c>
      <c r="E226" s="19">
        <v>1589</v>
      </c>
      <c r="F226" s="19">
        <v>16</v>
      </c>
      <c r="G226" s="44">
        <v>0.36546154800000002</v>
      </c>
      <c r="H226" s="45" t="s">
        <v>176</v>
      </c>
      <c r="I226" s="19">
        <v>5</v>
      </c>
    </row>
    <row r="227" spans="1:9" x14ac:dyDescent="0.3">
      <c r="A227" s="19" t="s">
        <v>402</v>
      </c>
      <c r="B227" s="19">
        <v>1025</v>
      </c>
      <c r="C227" s="43">
        <v>11.15</v>
      </c>
      <c r="D227" s="43">
        <v>45.818473900000001</v>
      </c>
      <c r="E227" s="19">
        <v>249</v>
      </c>
      <c r="F227" s="19">
        <v>16</v>
      </c>
      <c r="G227" s="44">
        <v>0.3066483767</v>
      </c>
      <c r="H227" s="45" t="s">
        <v>176</v>
      </c>
      <c r="I227" s="19">
        <v>10</v>
      </c>
    </row>
    <row r="228" spans="1:9" x14ac:dyDescent="0.3">
      <c r="A228" s="19" t="s">
        <v>403</v>
      </c>
      <c r="B228" s="19">
        <v>1172</v>
      </c>
      <c r="C228" s="43">
        <v>22</v>
      </c>
      <c r="D228" s="43">
        <v>50.803410399999997</v>
      </c>
      <c r="E228" s="19">
        <v>173</v>
      </c>
      <c r="F228" s="19">
        <v>41</v>
      </c>
      <c r="G228" s="44">
        <v>0.1169582057</v>
      </c>
      <c r="H228" s="45" t="s">
        <v>176</v>
      </c>
      <c r="I228" s="19">
        <v>10</v>
      </c>
    </row>
    <row r="229" spans="1:9" x14ac:dyDescent="0.3">
      <c r="A229" s="19" t="s">
        <v>404</v>
      </c>
      <c r="B229" s="19">
        <v>1030</v>
      </c>
      <c r="C229" s="43">
        <v>31.04</v>
      </c>
      <c r="D229" s="43">
        <v>86.166233770000005</v>
      </c>
      <c r="E229" s="19">
        <v>77</v>
      </c>
      <c r="F229" s="19">
        <v>46</v>
      </c>
      <c r="G229" s="44">
        <v>0.18976608189999999</v>
      </c>
      <c r="H229" s="45" t="s">
        <v>176</v>
      </c>
      <c r="I229" s="19">
        <v>10</v>
      </c>
    </row>
    <row r="230" spans="1:9" x14ac:dyDescent="0.3">
      <c r="A230" s="19" t="s">
        <v>405</v>
      </c>
      <c r="B230" s="19">
        <v>996</v>
      </c>
      <c r="C230" s="43">
        <v>13.85</v>
      </c>
      <c r="D230" s="43">
        <v>51.669356219999997</v>
      </c>
      <c r="E230" s="19">
        <v>233</v>
      </c>
      <c r="F230" s="19">
        <v>18</v>
      </c>
      <c r="G230" s="44">
        <v>0.28194943750000001</v>
      </c>
      <c r="H230" s="45" t="s">
        <v>176</v>
      </c>
      <c r="I230" s="19">
        <v>10</v>
      </c>
    </row>
    <row r="231" spans="1:9" x14ac:dyDescent="0.3">
      <c r="A231" s="19" t="s">
        <v>406</v>
      </c>
      <c r="B231" s="19">
        <v>989</v>
      </c>
      <c r="C231" s="43">
        <v>9.75</v>
      </c>
      <c r="D231" s="43">
        <v>43.546363640000003</v>
      </c>
      <c r="E231" s="19">
        <v>110</v>
      </c>
      <c r="F231" s="19">
        <v>44</v>
      </c>
      <c r="G231" s="44">
        <v>0.32610070769999999</v>
      </c>
      <c r="H231" s="45" t="s">
        <v>176</v>
      </c>
      <c r="I231" s="19">
        <v>10</v>
      </c>
    </row>
    <row r="232" spans="1:9" x14ac:dyDescent="0.3">
      <c r="A232" s="19" t="s">
        <v>407</v>
      </c>
      <c r="B232" s="19">
        <v>990</v>
      </c>
      <c r="C232" s="43">
        <v>8.85</v>
      </c>
      <c r="D232" s="43">
        <v>46.361538459999998</v>
      </c>
      <c r="E232" s="19">
        <v>78</v>
      </c>
      <c r="F232" s="19">
        <v>51</v>
      </c>
      <c r="G232" s="44">
        <v>0.35910900950000002</v>
      </c>
      <c r="H232" s="45" t="s">
        <v>176</v>
      </c>
      <c r="I232" s="19">
        <v>10</v>
      </c>
    </row>
    <row r="233" spans="1:9" x14ac:dyDescent="0.3">
      <c r="A233" s="19" t="s">
        <v>408</v>
      </c>
      <c r="B233" s="19">
        <v>965</v>
      </c>
      <c r="C233" s="43">
        <v>15.15</v>
      </c>
      <c r="D233" s="43">
        <v>41.81443299</v>
      </c>
      <c r="E233" s="19">
        <v>97</v>
      </c>
      <c r="F233" s="19">
        <v>55</v>
      </c>
      <c r="G233" s="44">
        <v>0.1876849112</v>
      </c>
      <c r="H233" s="45" t="s">
        <v>176</v>
      </c>
      <c r="I233" s="19">
        <v>10</v>
      </c>
    </row>
    <row r="234" spans="1:9" x14ac:dyDescent="0.3">
      <c r="A234" s="19" t="s">
        <v>409</v>
      </c>
      <c r="B234" s="19">
        <v>963</v>
      </c>
      <c r="C234" s="43">
        <v>8.9600000000000009</v>
      </c>
      <c r="D234" s="43">
        <v>43.736170209999997</v>
      </c>
      <c r="E234" s="19">
        <v>47</v>
      </c>
      <c r="F234" s="19">
        <v>61</v>
      </c>
      <c r="G234" s="44">
        <v>0.34513524029999998</v>
      </c>
      <c r="H234" s="45" t="s">
        <v>176</v>
      </c>
      <c r="I234" s="19">
        <v>10</v>
      </c>
    </row>
    <row r="235" spans="1:9" x14ac:dyDescent="0.3">
      <c r="A235" s="19" t="s">
        <v>410</v>
      </c>
      <c r="B235" s="19">
        <v>1169</v>
      </c>
      <c r="C235" s="43">
        <v>23.64</v>
      </c>
      <c r="D235" s="43">
        <v>66.906304349999999</v>
      </c>
      <c r="E235" s="19">
        <v>184</v>
      </c>
      <c r="F235" s="19">
        <v>21</v>
      </c>
      <c r="G235" s="44">
        <v>0.19667006749999999</v>
      </c>
      <c r="H235" s="45" t="s">
        <v>176</v>
      </c>
      <c r="I235" s="19">
        <v>10</v>
      </c>
    </row>
    <row r="236" spans="1:9" x14ac:dyDescent="0.3">
      <c r="A236" s="19" t="s">
        <v>411</v>
      </c>
      <c r="B236" s="19">
        <v>1024</v>
      </c>
      <c r="C236" s="43">
        <v>20.99</v>
      </c>
      <c r="D236" s="43">
        <v>59.396296300000003</v>
      </c>
      <c r="E236" s="19">
        <v>27</v>
      </c>
      <c r="F236" s="19">
        <v>67</v>
      </c>
      <c r="G236" s="44">
        <v>0.19661096219999999</v>
      </c>
      <c r="H236" s="45" t="s">
        <v>176</v>
      </c>
      <c r="I236" s="19">
        <v>10</v>
      </c>
    </row>
    <row r="237" spans="1:9" x14ac:dyDescent="0.3">
      <c r="A237" s="19" t="s">
        <v>412</v>
      </c>
      <c r="B237" s="19">
        <v>859</v>
      </c>
      <c r="C237" s="43">
        <v>30</v>
      </c>
      <c r="D237" s="43">
        <v>84.047708330000006</v>
      </c>
      <c r="E237" s="19">
        <v>240</v>
      </c>
      <c r="F237" s="19">
        <v>10</v>
      </c>
      <c r="G237" s="44">
        <v>0.19305986929999999</v>
      </c>
      <c r="H237" s="45" t="s">
        <v>176</v>
      </c>
      <c r="I237" s="19">
        <v>10</v>
      </c>
    </row>
    <row r="238" spans="1:9" x14ac:dyDescent="0.3">
      <c r="A238" s="19" t="s">
        <v>413</v>
      </c>
      <c r="B238" s="19">
        <v>798</v>
      </c>
      <c r="C238" s="43">
        <v>13.99</v>
      </c>
      <c r="D238" s="43">
        <v>49.836578950000003</v>
      </c>
      <c r="E238" s="19">
        <v>152</v>
      </c>
      <c r="F238" s="19">
        <v>34</v>
      </c>
      <c r="G238" s="44">
        <v>0.26928249700000001</v>
      </c>
      <c r="H238" s="45" t="s">
        <v>176</v>
      </c>
      <c r="I238" s="19">
        <v>10</v>
      </c>
    </row>
    <row r="239" spans="1:9" x14ac:dyDescent="0.3">
      <c r="A239" s="19" t="s">
        <v>414</v>
      </c>
      <c r="B239" s="19">
        <v>1053</v>
      </c>
      <c r="C239" s="43">
        <v>12</v>
      </c>
      <c r="D239" s="43">
        <v>38.96729508</v>
      </c>
      <c r="E239" s="19">
        <v>122</v>
      </c>
      <c r="F239" s="19">
        <v>45</v>
      </c>
      <c r="G239" s="44">
        <v>0.24204944880000001</v>
      </c>
      <c r="H239" s="45" t="s">
        <v>176</v>
      </c>
      <c r="I239" s="19">
        <v>10</v>
      </c>
    </row>
    <row r="240" spans="1:9" x14ac:dyDescent="0.3">
      <c r="A240" s="19" t="s">
        <v>415</v>
      </c>
      <c r="B240" s="19">
        <v>1023</v>
      </c>
      <c r="C240" s="43">
        <v>12.47</v>
      </c>
      <c r="D240" s="43">
        <v>48</v>
      </c>
      <c r="E240" s="19">
        <v>62</v>
      </c>
      <c r="F240" s="19">
        <v>58</v>
      </c>
      <c r="G240" s="44">
        <v>0.29020833330000001</v>
      </c>
      <c r="H240" s="45" t="s">
        <v>176</v>
      </c>
      <c r="I240" s="19">
        <v>10</v>
      </c>
    </row>
    <row r="241" spans="1:9" x14ac:dyDescent="0.3">
      <c r="A241" s="19" t="s">
        <v>416</v>
      </c>
      <c r="B241" s="19">
        <v>1174</v>
      </c>
      <c r="C241" s="43">
        <v>11.45</v>
      </c>
      <c r="D241" s="43">
        <v>56.25</v>
      </c>
      <c r="E241" s="19">
        <v>2</v>
      </c>
      <c r="F241" s="19">
        <v>72</v>
      </c>
      <c r="G241" s="44">
        <v>0.3464444444</v>
      </c>
      <c r="H241" s="45" t="s">
        <v>176</v>
      </c>
      <c r="I241" s="19">
        <v>10</v>
      </c>
    </row>
    <row r="242" spans="1:9" x14ac:dyDescent="0.3">
      <c r="A242" s="19" t="s">
        <v>417</v>
      </c>
      <c r="B242" s="19">
        <v>812</v>
      </c>
      <c r="C242" s="43">
        <v>21</v>
      </c>
      <c r="D242" s="43">
        <v>0</v>
      </c>
      <c r="E242" s="19">
        <v>0</v>
      </c>
      <c r="F242" s="19">
        <v>73</v>
      </c>
      <c r="G242" s="44">
        <v>0</v>
      </c>
      <c r="H242" s="45" t="s">
        <v>176</v>
      </c>
      <c r="I242" s="19">
        <v>10</v>
      </c>
    </row>
    <row r="243" spans="1:9" x14ac:dyDescent="0.3">
      <c r="A243" s="19" t="s">
        <v>418</v>
      </c>
      <c r="B243" s="19">
        <v>1159</v>
      </c>
      <c r="C243" s="43">
        <v>18.920000000000002</v>
      </c>
      <c r="D243" s="43">
        <v>73.774173230000002</v>
      </c>
      <c r="E243" s="19">
        <v>127</v>
      </c>
      <c r="F243" s="19">
        <v>29</v>
      </c>
      <c r="G243" s="44">
        <v>0.2935416871</v>
      </c>
      <c r="H243" s="45" t="s">
        <v>176</v>
      </c>
      <c r="I243" s="19">
        <v>10</v>
      </c>
    </row>
    <row r="244" spans="1:9" x14ac:dyDescent="0.3">
      <c r="A244" s="19" t="s">
        <v>419</v>
      </c>
      <c r="B244" s="19">
        <v>1185</v>
      </c>
      <c r="C244" s="43">
        <v>44.17</v>
      </c>
      <c r="D244" s="43">
        <v>87.203720930000003</v>
      </c>
      <c r="E244" s="19">
        <v>645</v>
      </c>
      <c r="F244" s="19">
        <v>6</v>
      </c>
      <c r="G244" s="44">
        <v>4.3484916370000001E-2</v>
      </c>
      <c r="H244" s="45" t="s">
        <v>176</v>
      </c>
      <c r="I244" s="19">
        <v>10</v>
      </c>
    </row>
    <row r="245" spans="1:9" x14ac:dyDescent="0.3">
      <c r="A245" s="19" t="s">
        <v>420</v>
      </c>
      <c r="B245" s="19">
        <v>1170</v>
      </c>
      <c r="C245" s="43">
        <v>33.43</v>
      </c>
      <c r="D245" s="43">
        <v>50.303553719999996</v>
      </c>
      <c r="E245" s="19">
        <v>242</v>
      </c>
      <c r="F245" s="19">
        <v>57</v>
      </c>
      <c r="G245" s="44">
        <v>-0.1145653742</v>
      </c>
      <c r="H245" s="45" t="s">
        <v>176</v>
      </c>
      <c r="I245" s="19">
        <v>10</v>
      </c>
    </row>
    <row r="246" spans="1:9" x14ac:dyDescent="0.3">
      <c r="A246" s="19" t="s">
        <v>421</v>
      </c>
      <c r="B246" s="19">
        <v>1026</v>
      </c>
      <c r="C246" s="43">
        <v>19.57</v>
      </c>
      <c r="D246" s="43">
        <v>47.859729729999998</v>
      </c>
      <c r="E246" s="19">
        <v>148</v>
      </c>
      <c r="F246" s="19">
        <v>43</v>
      </c>
      <c r="G246" s="44">
        <v>0.14109672970000001</v>
      </c>
      <c r="H246" s="45" t="s">
        <v>176</v>
      </c>
      <c r="I246" s="19">
        <v>10</v>
      </c>
    </row>
    <row r="247" spans="1:9" x14ac:dyDescent="0.3">
      <c r="A247" s="19" t="s">
        <v>422</v>
      </c>
      <c r="B247" s="19">
        <v>993</v>
      </c>
      <c r="C247" s="43">
        <v>12.35</v>
      </c>
      <c r="D247" s="43">
        <v>41.911711709999999</v>
      </c>
      <c r="E247" s="19">
        <v>111</v>
      </c>
      <c r="F247" s="19">
        <v>47</v>
      </c>
      <c r="G247" s="44">
        <v>0.2553329607</v>
      </c>
      <c r="H247" s="45" t="s">
        <v>176</v>
      </c>
      <c r="I247" s="19">
        <v>10</v>
      </c>
    </row>
    <row r="248" spans="1:9" x14ac:dyDescent="0.3">
      <c r="A248" s="19" t="s">
        <v>423</v>
      </c>
      <c r="B248" s="19">
        <v>1027</v>
      </c>
      <c r="C248" s="43">
        <v>11.27</v>
      </c>
      <c r="D248" s="43">
        <v>47.87583643</v>
      </c>
      <c r="E248" s="19">
        <v>269</v>
      </c>
      <c r="F248" s="19">
        <v>12</v>
      </c>
      <c r="G248" s="44">
        <v>0.31459941299999999</v>
      </c>
      <c r="H248" s="45" t="s">
        <v>176</v>
      </c>
      <c r="I248" s="19">
        <v>10</v>
      </c>
    </row>
    <row r="249" spans="1:9" x14ac:dyDescent="0.3">
      <c r="A249" s="19" t="s">
        <v>424</v>
      </c>
      <c r="B249" s="19">
        <v>1028</v>
      </c>
      <c r="C249" s="43">
        <v>10.67</v>
      </c>
      <c r="D249" s="43">
        <v>48.821978020000003</v>
      </c>
      <c r="E249" s="19">
        <v>182</v>
      </c>
      <c r="F249" s="19">
        <v>24</v>
      </c>
      <c r="G249" s="44">
        <v>0.33145088680000001</v>
      </c>
      <c r="H249" s="45" t="s">
        <v>176</v>
      </c>
      <c r="I249" s="19">
        <v>10</v>
      </c>
    </row>
    <row r="250" spans="1:9" x14ac:dyDescent="0.3">
      <c r="A250" s="19" t="s">
        <v>425</v>
      </c>
      <c r="B250" s="19">
        <v>1021</v>
      </c>
      <c r="C250" s="43">
        <v>9.9</v>
      </c>
      <c r="D250" s="43">
        <v>41.589056599999999</v>
      </c>
      <c r="E250" s="19">
        <v>212</v>
      </c>
      <c r="F250" s="19">
        <v>23</v>
      </c>
      <c r="G250" s="44">
        <v>0.31195661050000001</v>
      </c>
      <c r="H250" s="45" t="s">
        <v>176</v>
      </c>
      <c r="I250" s="19">
        <v>10</v>
      </c>
    </row>
    <row r="251" spans="1:9" x14ac:dyDescent="0.3">
      <c r="A251" s="19" t="s">
        <v>426</v>
      </c>
      <c r="B251" s="19">
        <v>997</v>
      </c>
      <c r="C251" s="43">
        <v>9.43</v>
      </c>
      <c r="D251" s="43">
        <v>36.377053140000001</v>
      </c>
      <c r="E251" s="19">
        <v>207</v>
      </c>
      <c r="F251" s="19">
        <v>30</v>
      </c>
      <c r="G251" s="44">
        <v>0.29077064559999999</v>
      </c>
      <c r="H251" s="45" t="s">
        <v>176</v>
      </c>
      <c r="I251" s="19">
        <v>10</v>
      </c>
    </row>
    <row r="252" spans="1:9" x14ac:dyDescent="0.3">
      <c r="A252" s="19" t="s">
        <v>427</v>
      </c>
      <c r="B252" s="19">
        <v>999</v>
      </c>
      <c r="C252" s="43">
        <v>11.17</v>
      </c>
      <c r="D252" s="43">
        <v>31.504981409999999</v>
      </c>
      <c r="E252" s="19">
        <v>269</v>
      </c>
      <c r="F252" s="19">
        <v>25</v>
      </c>
      <c r="G252" s="44">
        <v>0.1954528935</v>
      </c>
      <c r="H252" s="45" t="s">
        <v>176</v>
      </c>
      <c r="I252" s="19">
        <v>10</v>
      </c>
    </row>
    <row r="253" spans="1:9" x14ac:dyDescent="0.3">
      <c r="A253" s="19" t="s">
        <v>428</v>
      </c>
      <c r="B253" s="19">
        <v>1101</v>
      </c>
      <c r="C253" s="43">
        <v>21</v>
      </c>
      <c r="D253" s="43">
        <v>73.741202189999996</v>
      </c>
      <c r="E253" s="19">
        <v>183</v>
      </c>
      <c r="F253" s="19">
        <v>17</v>
      </c>
      <c r="G253" s="44">
        <v>0.26522026520000003</v>
      </c>
      <c r="H253" s="45" t="s">
        <v>176</v>
      </c>
      <c r="I253" s="19">
        <v>10</v>
      </c>
    </row>
    <row r="254" spans="1:9" x14ac:dyDescent="0.3">
      <c r="A254" s="19" t="s">
        <v>429</v>
      </c>
      <c r="B254" s="19">
        <v>887</v>
      </c>
      <c r="C254" s="43">
        <v>26.76</v>
      </c>
      <c r="D254" s="43">
        <v>84.760047850000007</v>
      </c>
      <c r="E254" s="19">
        <v>209</v>
      </c>
      <c r="F254" s="19">
        <v>11</v>
      </c>
      <c r="G254" s="44">
        <v>0.23428521829999999</v>
      </c>
      <c r="H254" s="45" t="s">
        <v>176</v>
      </c>
      <c r="I254" s="19">
        <v>10</v>
      </c>
    </row>
    <row r="255" spans="1:9" x14ac:dyDescent="0.3">
      <c r="A255" s="19" t="s">
        <v>430</v>
      </c>
      <c r="B255" s="19">
        <v>951</v>
      </c>
      <c r="C255" s="43">
        <v>33.51</v>
      </c>
      <c r="D255" s="43">
        <v>70.843203880000004</v>
      </c>
      <c r="E255" s="19">
        <v>206</v>
      </c>
      <c r="F255" s="19">
        <v>26</v>
      </c>
      <c r="G255" s="44">
        <v>7.6983561399999997E-2</v>
      </c>
      <c r="H255" s="45" t="s">
        <v>176</v>
      </c>
      <c r="I255" s="19">
        <v>10</v>
      </c>
    </row>
    <row r="256" spans="1:9" x14ac:dyDescent="0.3">
      <c r="A256" s="19" t="s">
        <v>431</v>
      </c>
      <c r="B256" s="19">
        <v>2169</v>
      </c>
      <c r="C256" s="43">
        <v>30.57</v>
      </c>
      <c r="D256" s="43">
        <v>91.173437500000006</v>
      </c>
      <c r="E256" s="19">
        <v>64</v>
      </c>
      <c r="F256" s="19">
        <v>49</v>
      </c>
      <c r="G256" s="44">
        <v>0.2147049751</v>
      </c>
      <c r="H256" s="45" t="s">
        <v>176</v>
      </c>
      <c r="I256" s="19">
        <v>10</v>
      </c>
    </row>
    <row r="257" spans="1:9" x14ac:dyDescent="0.3">
      <c r="A257" s="19" t="s">
        <v>432</v>
      </c>
      <c r="B257" s="19">
        <v>2058</v>
      </c>
      <c r="C257" s="43">
        <v>20.88</v>
      </c>
      <c r="D257" s="43">
        <v>51.350549450000003</v>
      </c>
      <c r="E257" s="19">
        <v>182</v>
      </c>
      <c r="F257" s="19">
        <v>35</v>
      </c>
      <c r="G257" s="44">
        <v>0.143383124</v>
      </c>
      <c r="H257" s="45" t="s">
        <v>176</v>
      </c>
      <c r="I257" s="19">
        <v>10</v>
      </c>
    </row>
    <row r="258" spans="1:9" x14ac:dyDescent="0.3">
      <c r="A258" s="19" t="s">
        <v>433</v>
      </c>
      <c r="B258" s="19">
        <v>1060</v>
      </c>
      <c r="C258" s="43">
        <v>25.531389999999998</v>
      </c>
      <c r="D258" s="43">
        <v>57.420689660000001</v>
      </c>
      <c r="E258" s="19">
        <v>116</v>
      </c>
      <c r="F258" s="19">
        <v>48</v>
      </c>
      <c r="G258" s="44">
        <v>0.10536253299999999</v>
      </c>
      <c r="H258" s="45" t="s">
        <v>176</v>
      </c>
      <c r="I258" s="19">
        <v>10</v>
      </c>
    </row>
    <row r="259" spans="1:9" x14ac:dyDescent="0.3">
      <c r="A259" s="19" t="s">
        <v>434</v>
      </c>
      <c r="B259" s="19">
        <v>958</v>
      </c>
      <c r="C259" s="43">
        <v>18.45</v>
      </c>
      <c r="D259" s="43">
        <v>52.991999999999997</v>
      </c>
      <c r="E259" s="19">
        <v>25</v>
      </c>
      <c r="F259" s="19">
        <v>69</v>
      </c>
      <c r="G259" s="44">
        <v>0.20183423910000001</v>
      </c>
      <c r="H259" s="45" t="s">
        <v>176</v>
      </c>
      <c r="I259" s="19">
        <v>10</v>
      </c>
    </row>
    <row r="260" spans="1:9" x14ac:dyDescent="0.3">
      <c r="A260" s="19" t="s">
        <v>435</v>
      </c>
      <c r="B260" s="19">
        <v>1001</v>
      </c>
      <c r="C260" s="43">
        <v>10.15</v>
      </c>
      <c r="D260" s="43">
        <v>32.883928570000002</v>
      </c>
      <c r="E260" s="19">
        <v>28</v>
      </c>
      <c r="F260" s="19">
        <v>71</v>
      </c>
      <c r="G260" s="44">
        <v>0.2413385827</v>
      </c>
      <c r="H260" s="45" t="s">
        <v>176</v>
      </c>
      <c r="I260" s="19">
        <v>10</v>
      </c>
    </row>
    <row r="261" spans="1:9" x14ac:dyDescent="0.3">
      <c r="A261" s="19" t="s">
        <v>436</v>
      </c>
      <c r="B261" s="19">
        <v>998</v>
      </c>
      <c r="C261" s="43">
        <v>24.7</v>
      </c>
      <c r="D261" s="43">
        <v>64.937931030000001</v>
      </c>
      <c r="E261" s="19">
        <v>29</v>
      </c>
      <c r="F261" s="19">
        <v>65</v>
      </c>
      <c r="G261" s="44">
        <v>0.16963678839999999</v>
      </c>
      <c r="H261" s="45" t="s">
        <v>176</v>
      </c>
      <c r="I261" s="19">
        <v>10</v>
      </c>
    </row>
    <row r="262" spans="1:9" x14ac:dyDescent="0.3">
      <c r="A262" s="19" t="s">
        <v>437</v>
      </c>
      <c r="B262" s="19">
        <v>787</v>
      </c>
      <c r="C262" s="43">
        <v>20.14</v>
      </c>
      <c r="D262" s="43">
        <v>50.275399999999998</v>
      </c>
      <c r="E262" s="19">
        <v>250</v>
      </c>
      <c r="F262" s="19">
        <v>20</v>
      </c>
      <c r="G262" s="44">
        <v>0.1494064692</v>
      </c>
      <c r="H262" s="45" t="s">
        <v>176</v>
      </c>
      <c r="I262" s="19">
        <v>10</v>
      </c>
    </row>
    <row r="263" spans="1:9" x14ac:dyDescent="0.3">
      <c r="A263" s="19" t="s">
        <v>438</v>
      </c>
      <c r="B263" s="19">
        <v>626</v>
      </c>
      <c r="C263" s="43">
        <v>0</v>
      </c>
      <c r="D263" s="43">
        <v>0</v>
      </c>
      <c r="E263" s="19">
        <v>0</v>
      </c>
      <c r="F263" s="19">
        <v>74</v>
      </c>
      <c r="G263" s="44">
        <v>0</v>
      </c>
      <c r="H263" s="45" t="s">
        <v>176</v>
      </c>
      <c r="I263" s="19">
        <v>10</v>
      </c>
    </row>
    <row r="264" spans="1:9" x14ac:dyDescent="0.3">
      <c r="A264" s="19" t="s">
        <v>439</v>
      </c>
      <c r="B264" s="19">
        <v>994</v>
      </c>
      <c r="C264" s="43">
        <v>8.0299999999999994</v>
      </c>
      <c r="D264" s="43">
        <v>26.575714290000001</v>
      </c>
      <c r="E264" s="19">
        <v>210</v>
      </c>
      <c r="F264" s="19">
        <v>40</v>
      </c>
      <c r="G264" s="44">
        <v>0.24784443370000001</v>
      </c>
      <c r="H264" s="45" t="s">
        <v>176</v>
      </c>
      <c r="I264" s="19">
        <v>10</v>
      </c>
    </row>
    <row r="265" spans="1:9" x14ac:dyDescent="0.3">
      <c r="A265" s="19" t="s">
        <v>440</v>
      </c>
      <c r="B265" s="19">
        <v>995</v>
      </c>
      <c r="C265" s="43">
        <v>13.55</v>
      </c>
      <c r="D265" s="43">
        <v>50.739130430000003</v>
      </c>
      <c r="E265" s="19">
        <v>138</v>
      </c>
      <c r="F265" s="19">
        <v>37</v>
      </c>
      <c r="G265" s="44">
        <v>0.2829477292</v>
      </c>
      <c r="H265" s="45" t="s">
        <v>176</v>
      </c>
      <c r="I265" s="19">
        <v>10</v>
      </c>
    </row>
    <row r="266" spans="1:9" x14ac:dyDescent="0.3">
      <c r="A266" s="19" t="s">
        <v>441</v>
      </c>
      <c r="B266" s="19">
        <v>1029</v>
      </c>
      <c r="C266" s="43">
        <v>15.35</v>
      </c>
      <c r="D266" s="43">
        <v>44.792307690000001</v>
      </c>
      <c r="E266" s="19">
        <v>104</v>
      </c>
      <c r="F266" s="19">
        <v>50</v>
      </c>
      <c r="G266" s="44">
        <v>0.20730723000000001</v>
      </c>
      <c r="H266" s="45" t="s">
        <v>176</v>
      </c>
      <c r="I266" s="19">
        <v>10</v>
      </c>
    </row>
    <row r="267" spans="1:9" x14ac:dyDescent="0.3">
      <c r="A267" s="19" t="s">
        <v>442</v>
      </c>
      <c r="B267" s="19">
        <v>962</v>
      </c>
      <c r="C267" s="43">
        <v>10.37</v>
      </c>
      <c r="D267" s="43">
        <v>33.458333330000002</v>
      </c>
      <c r="E267" s="19">
        <v>30</v>
      </c>
      <c r="F267" s="19">
        <v>70</v>
      </c>
      <c r="G267" s="44">
        <v>0.24006226650000001</v>
      </c>
      <c r="H267" s="45" t="s">
        <v>176</v>
      </c>
      <c r="I267" s="19">
        <v>10</v>
      </c>
    </row>
    <row r="268" spans="1:9" x14ac:dyDescent="0.3">
      <c r="A268" s="19" t="s">
        <v>443</v>
      </c>
      <c r="B268" s="19">
        <v>992</v>
      </c>
      <c r="C268" s="43">
        <v>6.41</v>
      </c>
      <c r="D268" s="43">
        <v>27.07758621</v>
      </c>
      <c r="E268" s="19">
        <v>58</v>
      </c>
      <c r="F268" s="19">
        <v>64</v>
      </c>
      <c r="G268" s="44">
        <v>0.31327284300000002</v>
      </c>
      <c r="H268" s="45" t="s">
        <v>176</v>
      </c>
      <c r="I268" s="19">
        <v>10</v>
      </c>
    </row>
    <row r="269" spans="1:9" x14ac:dyDescent="0.3">
      <c r="A269" s="19" t="s">
        <v>444</v>
      </c>
      <c r="B269" s="19">
        <v>1165</v>
      </c>
      <c r="C269" s="43">
        <v>14.79</v>
      </c>
      <c r="D269" s="43">
        <v>51.847258879999998</v>
      </c>
      <c r="E269" s="19">
        <v>197</v>
      </c>
      <c r="F269" s="19">
        <v>22</v>
      </c>
      <c r="G269" s="44">
        <v>0.26473901770000002</v>
      </c>
      <c r="H269" s="45" t="s">
        <v>176</v>
      </c>
      <c r="I269" s="19">
        <v>10</v>
      </c>
    </row>
    <row r="270" spans="1:9" x14ac:dyDescent="0.3">
      <c r="A270" s="19" t="s">
        <v>445</v>
      </c>
      <c r="B270" s="19">
        <v>1133</v>
      </c>
      <c r="C270" s="43">
        <v>0</v>
      </c>
      <c r="D270" s="43">
        <v>0</v>
      </c>
      <c r="E270" s="19">
        <v>0</v>
      </c>
      <c r="F270" s="19">
        <v>75</v>
      </c>
      <c r="G270" s="44">
        <v>0</v>
      </c>
      <c r="H270" s="45" t="s">
        <v>176</v>
      </c>
      <c r="I270" s="19">
        <v>10</v>
      </c>
    </row>
    <row r="271" spans="1:9" x14ac:dyDescent="0.3">
      <c r="A271" s="19" t="s">
        <v>446</v>
      </c>
      <c r="B271" s="19">
        <v>1046</v>
      </c>
      <c r="C271" s="43">
        <v>22.53</v>
      </c>
      <c r="D271" s="43">
        <v>68.951328669999995</v>
      </c>
      <c r="E271" s="19">
        <v>286</v>
      </c>
      <c r="F271" s="19">
        <v>9</v>
      </c>
      <c r="G271" s="44">
        <v>0.2232477759</v>
      </c>
      <c r="H271" s="45" t="s">
        <v>176</v>
      </c>
      <c r="I271" s="19">
        <v>10</v>
      </c>
    </row>
    <row r="272" spans="1:9" x14ac:dyDescent="0.3">
      <c r="A272" s="19" t="s">
        <v>447</v>
      </c>
      <c r="B272" s="19">
        <v>1034</v>
      </c>
      <c r="C272" s="43">
        <v>9.1999999999999993</v>
      </c>
      <c r="D272" s="43">
        <v>33.625555560000002</v>
      </c>
      <c r="E272" s="19">
        <v>90</v>
      </c>
      <c r="F272" s="19">
        <v>56</v>
      </c>
      <c r="G272" s="44">
        <v>0.27639857249999999</v>
      </c>
      <c r="H272" s="45" t="s">
        <v>176</v>
      </c>
      <c r="I272" s="19">
        <v>10</v>
      </c>
    </row>
    <row r="273" spans="1:9" x14ac:dyDescent="0.3">
      <c r="A273" s="19" t="s">
        <v>448</v>
      </c>
      <c r="B273" s="19">
        <v>950</v>
      </c>
      <c r="C273" s="43">
        <v>20.170000000000002</v>
      </c>
      <c r="D273" s="43">
        <v>55.126363640000001</v>
      </c>
      <c r="E273" s="19">
        <v>165</v>
      </c>
      <c r="F273" s="19">
        <v>32</v>
      </c>
      <c r="G273" s="44">
        <v>0.18411335940000001</v>
      </c>
      <c r="H273" s="45" t="s">
        <v>176</v>
      </c>
      <c r="I273" s="19">
        <v>10</v>
      </c>
    </row>
    <row r="274" spans="1:9" x14ac:dyDescent="0.3">
      <c r="A274" s="19" t="s">
        <v>449</v>
      </c>
      <c r="B274" s="19">
        <v>1020</v>
      </c>
      <c r="C274" s="43">
        <v>13.22</v>
      </c>
      <c r="D274" s="43">
        <v>52.256597220000003</v>
      </c>
      <c r="E274" s="19">
        <v>144</v>
      </c>
      <c r="F274" s="19">
        <v>31</v>
      </c>
      <c r="G274" s="44">
        <v>0.29701758820000002</v>
      </c>
      <c r="H274" s="45" t="s">
        <v>176</v>
      </c>
      <c r="I274" s="19">
        <v>10</v>
      </c>
    </row>
    <row r="275" spans="1:9" x14ac:dyDescent="0.3">
      <c r="A275" s="19" t="s">
        <v>450</v>
      </c>
      <c r="B275" s="19">
        <v>2167</v>
      </c>
      <c r="C275" s="43">
        <v>23.91</v>
      </c>
      <c r="D275" s="43">
        <v>27.5</v>
      </c>
      <c r="E275" s="19">
        <v>212</v>
      </c>
      <c r="F275" s="19">
        <v>60</v>
      </c>
      <c r="G275" s="44">
        <v>-0.31945454550000002</v>
      </c>
      <c r="H275" s="45" t="s">
        <v>176</v>
      </c>
      <c r="I275" s="19">
        <v>10</v>
      </c>
    </row>
    <row r="276" spans="1:9" x14ac:dyDescent="0.3">
      <c r="A276" s="19" t="s">
        <v>451</v>
      </c>
      <c r="B276" s="19">
        <v>1042</v>
      </c>
      <c r="C276" s="43">
        <v>15.72</v>
      </c>
      <c r="D276" s="43">
        <v>42.336633659999997</v>
      </c>
      <c r="E276" s="19">
        <v>101</v>
      </c>
      <c r="F276" s="19">
        <v>54</v>
      </c>
      <c r="G276" s="44">
        <v>0.1786903648</v>
      </c>
      <c r="H276" s="45" t="s">
        <v>176</v>
      </c>
      <c r="I276" s="19">
        <v>10</v>
      </c>
    </row>
    <row r="277" spans="1:9" x14ac:dyDescent="0.3">
      <c r="A277" s="19" t="s">
        <v>452</v>
      </c>
      <c r="B277" s="19">
        <v>1061</v>
      </c>
      <c r="C277" s="43">
        <v>37.631390000000003</v>
      </c>
      <c r="D277" s="43">
        <v>56.372932329999998</v>
      </c>
      <c r="E277" s="19">
        <v>133</v>
      </c>
      <c r="F277" s="19">
        <v>63</v>
      </c>
      <c r="G277" s="44">
        <v>-0.11754359659999999</v>
      </c>
      <c r="H277" s="45" t="s">
        <v>176</v>
      </c>
      <c r="I277" s="19">
        <v>10</v>
      </c>
    </row>
    <row r="278" spans="1:9" x14ac:dyDescent="0.3">
      <c r="A278" s="19" t="s">
        <v>453</v>
      </c>
      <c r="B278" s="19">
        <v>807</v>
      </c>
      <c r="C278" s="43">
        <v>20.6</v>
      </c>
      <c r="D278" s="43">
        <v>53.139860140000003</v>
      </c>
      <c r="E278" s="19">
        <v>143</v>
      </c>
      <c r="F278" s="19">
        <v>42</v>
      </c>
      <c r="G278" s="44">
        <v>0.1623437294</v>
      </c>
      <c r="H278" s="45" t="s">
        <v>176</v>
      </c>
      <c r="I278" s="19">
        <v>10</v>
      </c>
    </row>
    <row r="279" spans="1:9" x14ac:dyDescent="0.3">
      <c r="A279" s="19" t="s">
        <v>454</v>
      </c>
      <c r="B279" s="19">
        <v>797</v>
      </c>
      <c r="C279" s="43">
        <v>33</v>
      </c>
      <c r="D279" s="43">
        <v>70.542719379999994</v>
      </c>
      <c r="E279" s="19">
        <v>1037</v>
      </c>
      <c r="F279" s="19">
        <v>2</v>
      </c>
      <c r="G279" s="44">
        <v>8.2198357410000006E-2</v>
      </c>
      <c r="H279" s="45" t="s">
        <v>176</v>
      </c>
      <c r="I279" s="19">
        <v>10</v>
      </c>
    </row>
    <row r="280" spans="1:9" x14ac:dyDescent="0.3">
      <c r="A280" s="19" t="s">
        <v>455</v>
      </c>
      <c r="B280" s="19">
        <v>1059</v>
      </c>
      <c r="C280" s="43">
        <v>33.162486000000001</v>
      </c>
      <c r="D280" s="43">
        <v>76.571969699999997</v>
      </c>
      <c r="E280" s="19">
        <v>132</v>
      </c>
      <c r="F280" s="19">
        <v>39</v>
      </c>
      <c r="G280" s="44">
        <v>0.1169108927</v>
      </c>
      <c r="H280" s="45" t="s">
        <v>176</v>
      </c>
      <c r="I280" s="19">
        <v>10</v>
      </c>
    </row>
    <row r="281" spans="1:9" x14ac:dyDescent="0.3">
      <c r="A281" s="19" t="s">
        <v>456</v>
      </c>
      <c r="B281" s="19">
        <v>1019</v>
      </c>
      <c r="C281" s="43">
        <v>15.5</v>
      </c>
      <c r="D281" s="43">
        <v>48.017977530000003</v>
      </c>
      <c r="E281" s="19">
        <v>89</v>
      </c>
      <c r="F281" s="19">
        <v>52</v>
      </c>
      <c r="G281" s="44">
        <v>0.2272042306</v>
      </c>
      <c r="H281" s="45" t="s">
        <v>176</v>
      </c>
      <c r="I281" s="19">
        <v>10</v>
      </c>
    </row>
    <row r="282" spans="1:9" x14ac:dyDescent="0.3">
      <c r="A282" s="19" t="s">
        <v>457</v>
      </c>
      <c r="B282" s="19">
        <v>861</v>
      </c>
      <c r="C282" s="43">
        <v>34.5</v>
      </c>
      <c r="D282" s="43">
        <v>87.453900709999999</v>
      </c>
      <c r="E282" s="19">
        <v>141</v>
      </c>
      <c r="F282" s="19">
        <v>28</v>
      </c>
      <c r="G282" s="44">
        <v>0.15550644720000001</v>
      </c>
      <c r="H282" s="45" t="s">
        <v>176</v>
      </c>
      <c r="I282" s="19">
        <v>10</v>
      </c>
    </row>
    <row r="283" spans="1:9" x14ac:dyDescent="0.3">
      <c r="A283" s="19" t="s">
        <v>458</v>
      </c>
      <c r="B283" s="19">
        <v>988</v>
      </c>
      <c r="C283" s="43">
        <v>11.18</v>
      </c>
      <c r="D283" s="43">
        <v>44.710784310000001</v>
      </c>
      <c r="E283" s="19">
        <v>153</v>
      </c>
      <c r="F283" s="19">
        <v>36</v>
      </c>
      <c r="G283" s="44">
        <v>0.29994847060000002</v>
      </c>
      <c r="H283" s="45" t="s">
        <v>176</v>
      </c>
      <c r="I283" s="19">
        <v>10</v>
      </c>
    </row>
    <row r="284" spans="1:9" x14ac:dyDescent="0.3">
      <c r="A284" s="19" t="s">
        <v>459</v>
      </c>
      <c r="B284" s="19">
        <v>2157</v>
      </c>
      <c r="C284" s="43">
        <v>49.5</v>
      </c>
      <c r="D284" s="43">
        <v>120.4357219</v>
      </c>
      <c r="E284" s="19">
        <v>187</v>
      </c>
      <c r="F284" s="19">
        <v>14</v>
      </c>
      <c r="G284" s="44">
        <v>0.1389923753</v>
      </c>
      <c r="H284" s="45" t="s">
        <v>176</v>
      </c>
      <c r="I284" s="19">
        <v>10</v>
      </c>
    </row>
    <row r="285" spans="1:9" x14ac:dyDescent="0.3">
      <c r="A285" s="19" t="s">
        <v>460</v>
      </c>
      <c r="B285" s="19">
        <v>991</v>
      </c>
      <c r="C285" s="43">
        <v>11.62</v>
      </c>
      <c r="D285" s="43">
        <v>49.065020750000002</v>
      </c>
      <c r="E285" s="19">
        <v>241</v>
      </c>
      <c r="F285" s="19">
        <v>15</v>
      </c>
      <c r="G285" s="44">
        <v>0.3131714035</v>
      </c>
      <c r="H285" s="45" t="s">
        <v>176</v>
      </c>
      <c r="I285" s="19">
        <v>10</v>
      </c>
    </row>
    <row r="286" spans="1:9" x14ac:dyDescent="0.3">
      <c r="A286" s="19" t="s">
        <v>461</v>
      </c>
      <c r="B286" s="19">
        <v>1000</v>
      </c>
      <c r="C286" s="43">
        <v>12.87</v>
      </c>
      <c r="D286" s="43">
        <v>46.053191490000003</v>
      </c>
      <c r="E286" s="19">
        <v>47</v>
      </c>
      <c r="F286" s="19">
        <v>62</v>
      </c>
      <c r="G286" s="44">
        <v>0.27054054049999998</v>
      </c>
      <c r="H286" s="45" t="s">
        <v>176</v>
      </c>
      <c r="I286" s="19">
        <v>10</v>
      </c>
    </row>
    <row r="287" spans="1:9" x14ac:dyDescent="0.3">
      <c r="A287" s="19" t="s">
        <v>462</v>
      </c>
      <c r="B287" s="19">
        <v>2174</v>
      </c>
      <c r="C287" s="43">
        <v>22.5</v>
      </c>
      <c r="D287" s="43">
        <v>60.57789855</v>
      </c>
      <c r="E287" s="19">
        <v>138</v>
      </c>
      <c r="F287" s="19">
        <v>38</v>
      </c>
      <c r="G287" s="44">
        <v>0.17857740959999999</v>
      </c>
      <c r="H287" s="45" t="s">
        <v>176</v>
      </c>
      <c r="I287" s="19">
        <v>10</v>
      </c>
    </row>
    <row r="288" spans="1:9" x14ac:dyDescent="0.3">
      <c r="A288" s="19" t="s">
        <v>463</v>
      </c>
      <c r="B288" s="19">
        <v>846</v>
      </c>
      <c r="C288" s="43">
        <v>15</v>
      </c>
      <c r="D288" s="43">
        <v>53.933137250000001</v>
      </c>
      <c r="E288" s="19">
        <v>255</v>
      </c>
      <c r="F288" s="19">
        <v>13</v>
      </c>
      <c r="G288" s="44">
        <v>0.27187785170000001</v>
      </c>
      <c r="H288" s="45" t="s">
        <v>176</v>
      </c>
      <c r="I288" s="19">
        <v>10</v>
      </c>
    </row>
    <row r="289" spans="1:9" x14ac:dyDescent="0.3">
      <c r="A289" s="19" t="s">
        <v>464</v>
      </c>
      <c r="B289" s="19">
        <v>1049</v>
      </c>
      <c r="C289" s="43">
        <v>20.170000000000002</v>
      </c>
      <c r="D289" s="43">
        <v>84.275862070000002</v>
      </c>
      <c r="E289" s="19">
        <v>116</v>
      </c>
      <c r="F289" s="19">
        <v>27</v>
      </c>
      <c r="G289" s="44">
        <v>0.31066693940000001</v>
      </c>
      <c r="H289" s="45" t="s">
        <v>176</v>
      </c>
      <c r="I289" s="19">
        <v>10</v>
      </c>
    </row>
    <row r="290" spans="1:9" x14ac:dyDescent="0.3">
      <c r="A290" s="19" t="s">
        <v>465</v>
      </c>
      <c r="B290" s="19">
        <v>799</v>
      </c>
      <c r="C290" s="43">
        <v>38.25</v>
      </c>
      <c r="D290" s="43">
        <v>87.350376650000001</v>
      </c>
      <c r="E290" s="19">
        <v>531</v>
      </c>
      <c r="F290" s="19">
        <v>5</v>
      </c>
      <c r="G290" s="44">
        <v>0.1121083564</v>
      </c>
      <c r="H290" s="45" t="s">
        <v>176</v>
      </c>
      <c r="I290" s="19">
        <v>10</v>
      </c>
    </row>
    <row r="291" spans="1:9" x14ac:dyDescent="0.3">
      <c r="A291" s="19" t="s">
        <v>466</v>
      </c>
      <c r="B291" s="19">
        <v>1045</v>
      </c>
      <c r="C291" s="43">
        <v>20.75</v>
      </c>
      <c r="D291" s="43">
        <v>61.427631580000003</v>
      </c>
      <c r="E291" s="19">
        <v>76</v>
      </c>
      <c r="F291" s="19">
        <v>53</v>
      </c>
      <c r="G291" s="44">
        <v>0.2122041341</v>
      </c>
      <c r="H291" s="45" t="s">
        <v>176</v>
      </c>
      <c r="I291" s="19">
        <v>10</v>
      </c>
    </row>
    <row r="292" spans="1:9" x14ac:dyDescent="0.3">
      <c r="A292" s="19" t="s">
        <v>467</v>
      </c>
      <c r="B292" s="19">
        <v>1048</v>
      </c>
      <c r="C292" s="43">
        <v>18.5</v>
      </c>
      <c r="D292" s="43">
        <v>85.117171720000002</v>
      </c>
      <c r="E292" s="19">
        <v>99</v>
      </c>
      <c r="F292" s="19">
        <v>33</v>
      </c>
      <c r="G292" s="44">
        <v>0.33265255259999998</v>
      </c>
      <c r="H292" s="45" t="s">
        <v>176</v>
      </c>
      <c r="I292" s="19">
        <v>10</v>
      </c>
    </row>
    <row r="293" spans="1:9" x14ac:dyDescent="0.3">
      <c r="A293" s="19" t="s">
        <v>468</v>
      </c>
      <c r="B293" s="19">
        <v>1132</v>
      </c>
      <c r="C293" s="43">
        <v>3.6</v>
      </c>
      <c r="D293" s="43">
        <v>0</v>
      </c>
      <c r="E293" s="19">
        <v>0</v>
      </c>
      <c r="F293" s="19">
        <v>76</v>
      </c>
      <c r="G293" s="44">
        <v>0</v>
      </c>
      <c r="H293" s="45" t="s">
        <v>176</v>
      </c>
      <c r="I293" s="19">
        <v>10</v>
      </c>
    </row>
    <row r="294" spans="1:9" x14ac:dyDescent="0.3">
      <c r="A294" s="19" t="s">
        <v>469</v>
      </c>
      <c r="B294" s="19">
        <v>1099</v>
      </c>
      <c r="C294" s="43">
        <v>0</v>
      </c>
      <c r="D294" s="43">
        <v>0</v>
      </c>
      <c r="E294" s="19">
        <v>0</v>
      </c>
      <c r="F294" s="19">
        <v>77</v>
      </c>
      <c r="G294" s="44">
        <v>0</v>
      </c>
      <c r="H294" s="45" t="s">
        <v>176</v>
      </c>
      <c r="I294" s="19">
        <v>10</v>
      </c>
    </row>
    <row r="295" spans="1:9" x14ac:dyDescent="0.3">
      <c r="A295" s="19" t="s">
        <v>470</v>
      </c>
      <c r="B295" s="19">
        <v>811</v>
      </c>
      <c r="C295" s="43">
        <v>30.24</v>
      </c>
      <c r="D295" s="43">
        <v>74.780487800000003</v>
      </c>
      <c r="E295" s="19">
        <v>205</v>
      </c>
      <c r="F295" s="19">
        <v>19</v>
      </c>
      <c r="G295" s="44">
        <v>0.14561643839999999</v>
      </c>
      <c r="H295" s="45" t="s">
        <v>176</v>
      </c>
      <c r="I295" s="19">
        <v>10</v>
      </c>
    </row>
    <row r="296" spans="1:9" x14ac:dyDescent="0.3">
      <c r="A296" s="19" t="s">
        <v>471</v>
      </c>
      <c r="B296" s="19">
        <v>949</v>
      </c>
      <c r="C296" s="43">
        <v>5.56</v>
      </c>
      <c r="D296" s="43">
        <v>0</v>
      </c>
      <c r="E296" s="19">
        <v>0</v>
      </c>
      <c r="F296" s="19">
        <v>79</v>
      </c>
      <c r="G296" s="44">
        <v>0</v>
      </c>
      <c r="H296" s="45" t="s">
        <v>176</v>
      </c>
      <c r="I296" s="19">
        <v>10</v>
      </c>
    </row>
    <row r="297" spans="1:9" x14ac:dyDescent="0.3">
      <c r="A297" s="19" t="s">
        <v>472</v>
      </c>
      <c r="B297" s="19">
        <v>1043</v>
      </c>
      <c r="C297" s="43">
        <v>10.95</v>
      </c>
      <c r="D297" s="43">
        <v>47.624285710000002</v>
      </c>
      <c r="E297" s="19">
        <v>28</v>
      </c>
      <c r="F297" s="19">
        <v>66</v>
      </c>
      <c r="G297" s="44">
        <v>0.32007529169999999</v>
      </c>
      <c r="H297" s="45" t="s">
        <v>176</v>
      </c>
      <c r="I297" s="19">
        <v>10</v>
      </c>
    </row>
    <row r="298" spans="1:9" x14ac:dyDescent="0.3">
      <c r="A298" s="19" t="s">
        <v>473</v>
      </c>
      <c r="B298" s="19">
        <v>1022</v>
      </c>
      <c r="C298" s="43">
        <v>0</v>
      </c>
      <c r="D298" s="43">
        <v>0</v>
      </c>
      <c r="E298" s="19">
        <v>0</v>
      </c>
      <c r="F298" s="19">
        <v>78</v>
      </c>
      <c r="G298" s="44">
        <v>0</v>
      </c>
      <c r="H298" s="45" t="s">
        <v>176</v>
      </c>
      <c r="I298" s="19">
        <v>10</v>
      </c>
    </row>
    <row r="299" spans="1:9" x14ac:dyDescent="0.3">
      <c r="A299" s="19" t="s">
        <v>474</v>
      </c>
      <c r="B299" s="19">
        <v>702</v>
      </c>
      <c r="C299" s="43">
        <v>10.146485999999999</v>
      </c>
      <c r="D299" s="43">
        <v>47.555672129999998</v>
      </c>
      <c r="E299" s="19">
        <v>305</v>
      </c>
      <c r="F299" s="19">
        <v>105</v>
      </c>
      <c r="G299" s="44">
        <v>0.33663983609999998</v>
      </c>
      <c r="H299" s="45" t="s">
        <v>176</v>
      </c>
      <c r="I299" s="19">
        <v>10</v>
      </c>
    </row>
    <row r="300" spans="1:9" x14ac:dyDescent="0.3">
      <c r="A300" s="19" t="s">
        <v>475</v>
      </c>
      <c r="B300" s="19">
        <v>920</v>
      </c>
      <c r="C300" s="43">
        <v>8.0372900000000005</v>
      </c>
      <c r="D300" s="43">
        <v>48.867199999999997</v>
      </c>
      <c r="E300" s="19">
        <v>25</v>
      </c>
      <c r="F300" s="19">
        <v>280</v>
      </c>
      <c r="G300" s="44">
        <v>0.38552792060000002</v>
      </c>
      <c r="H300" s="45" t="s">
        <v>176</v>
      </c>
      <c r="I300" s="19">
        <v>10</v>
      </c>
    </row>
    <row r="301" spans="1:9" x14ac:dyDescent="0.3">
      <c r="A301" s="19" t="s">
        <v>476</v>
      </c>
      <c r="B301" s="19">
        <v>1138</v>
      </c>
      <c r="C301" s="43">
        <v>9.7103900000000003</v>
      </c>
      <c r="D301" s="43">
        <v>52.575348839999997</v>
      </c>
      <c r="E301" s="19">
        <v>86</v>
      </c>
      <c r="F301" s="19">
        <v>239</v>
      </c>
      <c r="G301" s="44">
        <v>0.36530526730000001</v>
      </c>
      <c r="H301" s="45" t="s">
        <v>176</v>
      </c>
      <c r="I301" s="19">
        <v>5</v>
      </c>
    </row>
    <row r="302" spans="1:9" x14ac:dyDescent="0.3">
      <c r="A302" s="19" t="s">
        <v>477</v>
      </c>
      <c r="B302" s="19">
        <v>927</v>
      </c>
      <c r="C302" s="43">
        <v>6.2956700000000003</v>
      </c>
      <c r="D302" s="43">
        <v>44.477083329999999</v>
      </c>
      <c r="E302" s="19">
        <v>48</v>
      </c>
      <c r="F302" s="19">
        <v>330</v>
      </c>
      <c r="G302" s="44">
        <v>0.40845137479999999</v>
      </c>
      <c r="H302" s="45" t="s">
        <v>176</v>
      </c>
      <c r="I302" s="19">
        <v>10</v>
      </c>
    </row>
    <row r="303" spans="1:9" x14ac:dyDescent="0.3">
      <c r="A303" s="19" t="s">
        <v>478</v>
      </c>
      <c r="B303" s="19">
        <v>1055</v>
      </c>
      <c r="C303" s="43">
        <v>5.6404699999999997</v>
      </c>
      <c r="D303" s="43">
        <v>29.905673799999999</v>
      </c>
      <c r="E303" s="19">
        <v>3458</v>
      </c>
      <c r="F303" s="19">
        <v>9</v>
      </c>
      <c r="G303" s="44">
        <v>0.36139130860000002</v>
      </c>
      <c r="H303" s="45" t="s">
        <v>176</v>
      </c>
      <c r="I303" s="19">
        <v>10</v>
      </c>
    </row>
    <row r="304" spans="1:9" x14ac:dyDescent="0.3">
      <c r="A304" s="19" t="s">
        <v>479</v>
      </c>
      <c r="B304" s="19">
        <v>703</v>
      </c>
      <c r="C304" s="43">
        <v>4.9030899999999997</v>
      </c>
      <c r="D304" s="43">
        <v>35.347395540000001</v>
      </c>
      <c r="E304" s="19">
        <v>2872</v>
      </c>
      <c r="F304" s="19">
        <v>8</v>
      </c>
      <c r="G304" s="44">
        <v>0.41128850729999999</v>
      </c>
      <c r="H304" s="45" t="s">
        <v>176</v>
      </c>
      <c r="I304" s="19">
        <v>10</v>
      </c>
    </row>
    <row r="305" spans="1:9" x14ac:dyDescent="0.3">
      <c r="A305" s="19" t="s">
        <v>480</v>
      </c>
      <c r="B305" s="19">
        <v>943</v>
      </c>
      <c r="C305" s="43">
        <v>19.81709</v>
      </c>
      <c r="D305" s="43">
        <v>126.1271856</v>
      </c>
      <c r="E305" s="19">
        <v>167</v>
      </c>
      <c r="F305" s="19">
        <v>62</v>
      </c>
      <c r="G305" s="44">
        <v>0.39288010629999998</v>
      </c>
      <c r="H305" s="45" t="s">
        <v>176</v>
      </c>
      <c r="I305" s="19">
        <v>50</v>
      </c>
    </row>
    <row r="306" spans="1:9" x14ac:dyDescent="0.3">
      <c r="A306" s="19" t="s">
        <v>481</v>
      </c>
      <c r="B306" s="19">
        <v>2198</v>
      </c>
      <c r="C306" s="43">
        <v>6.8407400000000003</v>
      </c>
      <c r="D306" s="43">
        <v>0</v>
      </c>
      <c r="E306" s="19">
        <v>0</v>
      </c>
      <c r="F306" s="19" t="s">
        <v>181</v>
      </c>
      <c r="G306" s="44">
        <v>0</v>
      </c>
      <c r="H306" s="46" t="s">
        <v>182</v>
      </c>
      <c r="I306" s="19">
        <v>5</v>
      </c>
    </row>
    <row r="307" spans="1:9" x14ac:dyDescent="0.3">
      <c r="A307" s="19" t="s">
        <v>482</v>
      </c>
      <c r="B307" s="19">
        <v>1144</v>
      </c>
      <c r="C307" s="43">
        <v>8.8411899999999992</v>
      </c>
      <c r="D307" s="43">
        <v>41.350303029999999</v>
      </c>
      <c r="E307" s="19">
        <v>99</v>
      </c>
      <c r="F307" s="19">
        <v>243</v>
      </c>
      <c r="G307" s="44">
        <v>0.33618802399999997</v>
      </c>
      <c r="H307" s="45" t="s">
        <v>176</v>
      </c>
      <c r="I307" s="19">
        <v>5</v>
      </c>
    </row>
    <row r="308" spans="1:9" x14ac:dyDescent="0.3">
      <c r="A308" s="19" t="s">
        <v>483</v>
      </c>
      <c r="B308" s="19">
        <v>1149</v>
      </c>
      <c r="C308" s="43">
        <v>10.429589999999999</v>
      </c>
      <c r="D308" s="43">
        <v>46.87851852</v>
      </c>
      <c r="E308" s="19">
        <v>135</v>
      </c>
      <c r="F308" s="19">
        <v>174</v>
      </c>
      <c r="G308" s="44">
        <v>0.32751877979999999</v>
      </c>
      <c r="H308" s="45" t="s">
        <v>176</v>
      </c>
      <c r="I308" s="19">
        <v>5</v>
      </c>
    </row>
    <row r="309" spans="1:9" x14ac:dyDescent="0.3">
      <c r="A309" s="19" t="s">
        <v>484</v>
      </c>
      <c r="B309" s="19">
        <v>1373</v>
      </c>
      <c r="C309" s="43">
        <v>7.9862900000000003</v>
      </c>
      <c r="D309" s="43">
        <v>41.6</v>
      </c>
      <c r="E309" s="19">
        <v>6</v>
      </c>
      <c r="F309" s="19">
        <v>420</v>
      </c>
      <c r="G309" s="44">
        <v>0.35802187499999999</v>
      </c>
      <c r="H309" s="46" t="s">
        <v>182</v>
      </c>
      <c r="I309" s="19">
        <v>10</v>
      </c>
    </row>
    <row r="310" spans="1:9" x14ac:dyDescent="0.3">
      <c r="A310" s="19" t="s">
        <v>485</v>
      </c>
      <c r="B310" s="19">
        <v>1152</v>
      </c>
      <c r="C310" s="43">
        <v>25.410242799999999</v>
      </c>
      <c r="D310" s="43">
        <v>84.277600000000007</v>
      </c>
      <c r="E310" s="19">
        <v>25</v>
      </c>
      <c r="F310" s="19">
        <v>354</v>
      </c>
      <c r="G310" s="44">
        <v>0.2484935167</v>
      </c>
      <c r="H310" s="45" t="s">
        <v>176</v>
      </c>
      <c r="I310" s="19">
        <v>5</v>
      </c>
    </row>
    <row r="311" spans="1:9" x14ac:dyDescent="0.3">
      <c r="A311" s="19" t="s">
        <v>486</v>
      </c>
      <c r="B311" s="19">
        <v>2197</v>
      </c>
      <c r="C311" s="43">
        <v>2.8764400000000001</v>
      </c>
      <c r="D311" s="43">
        <v>0</v>
      </c>
      <c r="E311" s="19">
        <v>0</v>
      </c>
      <c r="F311" s="19" t="s">
        <v>181</v>
      </c>
      <c r="G311" s="44">
        <v>0</v>
      </c>
      <c r="H311" s="46" t="s">
        <v>182</v>
      </c>
      <c r="I311" s="19">
        <v>5</v>
      </c>
    </row>
    <row r="312" spans="1:9" x14ac:dyDescent="0.3">
      <c r="A312" s="19" t="s">
        <v>487</v>
      </c>
      <c r="B312" s="19">
        <v>938</v>
      </c>
      <c r="C312" s="43">
        <v>12.23269</v>
      </c>
      <c r="D312" s="43">
        <v>39.6</v>
      </c>
      <c r="E312" s="19">
        <v>3</v>
      </c>
      <c r="F312" s="19">
        <v>288</v>
      </c>
      <c r="G312" s="44">
        <v>0.24109368689999999</v>
      </c>
      <c r="H312" s="45" t="s">
        <v>176</v>
      </c>
      <c r="I312" s="19">
        <v>10</v>
      </c>
    </row>
    <row r="313" spans="1:9" x14ac:dyDescent="0.3">
      <c r="A313" s="19" t="s">
        <v>488</v>
      </c>
      <c r="B313" s="19">
        <v>705</v>
      </c>
      <c r="C313" s="43">
        <v>7.7736010000000002</v>
      </c>
      <c r="D313" s="43">
        <v>34.10273523</v>
      </c>
      <c r="E313" s="19">
        <v>457</v>
      </c>
      <c r="F313" s="19">
        <v>101</v>
      </c>
      <c r="G313" s="44">
        <v>0.32205344530000002</v>
      </c>
      <c r="H313" s="45" t="s">
        <v>176</v>
      </c>
      <c r="I313" s="19">
        <v>10</v>
      </c>
    </row>
    <row r="314" spans="1:9" x14ac:dyDescent="0.3">
      <c r="A314" s="19" t="s">
        <v>489</v>
      </c>
      <c r="B314" s="19">
        <v>931</v>
      </c>
      <c r="C314" s="43">
        <v>33.7309178</v>
      </c>
      <c r="D314" s="43">
        <v>189.1153846</v>
      </c>
      <c r="E314" s="19">
        <v>13</v>
      </c>
      <c r="F314" s="19">
        <v>329</v>
      </c>
      <c r="G314" s="44">
        <v>0.37163842530000002</v>
      </c>
      <c r="H314" s="45" t="s">
        <v>176</v>
      </c>
      <c r="I314" s="19">
        <v>10</v>
      </c>
    </row>
    <row r="315" spans="1:9" x14ac:dyDescent="0.3">
      <c r="A315" s="19" t="s">
        <v>490</v>
      </c>
      <c r="B315" s="19">
        <v>1167</v>
      </c>
      <c r="C315" s="43">
        <v>10.44459</v>
      </c>
      <c r="D315" s="43">
        <v>42.41368421</v>
      </c>
      <c r="E315" s="19">
        <v>76</v>
      </c>
      <c r="F315" s="19">
        <v>262</v>
      </c>
      <c r="G315" s="44">
        <v>0.30374480679999999</v>
      </c>
      <c r="H315" s="45" t="s">
        <v>176</v>
      </c>
      <c r="I315" s="19">
        <v>5</v>
      </c>
    </row>
    <row r="316" spans="1:9" x14ac:dyDescent="0.3">
      <c r="A316" s="19" t="s">
        <v>491</v>
      </c>
      <c r="B316" s="19">
        <v>856</v>
      </c>
      <c r="C316" s="43">
        <v>6.7495900000000004</v>
      </c>
      <c r="D316" s="43">
        <v>41.338801650000001</v>
      </c>
      <c r="E316" s="19">
        <v>1452</v>
      </c>
      <c r="F316" s="19">
        <v>24</v>
      </c>
      <c r="G316" s="44">
        <v>0.38672506870000001</v>
      </c>
      <c r="H316" s="45" t="s">
        <v>176</v>
      </c>
      <c r="I316" s="19">
        <v>10</v>
      </c>
    </row>
    <row r="317" spans="1:9" x14ac:dyDescent="0.3">
      <c r="A317" s="19" t="s">
        <v>492</v>
      </c>
      <c r="B317" s="19">
        <v>937</v>
      </c>
      <c r="C317" s="43">
        <v>15.76942</v>
      </c>
      <c r="D317" s="43">
        <v>72.355036499999997</v>
      </c>
      <c r="E317" s="19">
        <v>137</v>
      </c>
      <c r="F317" s="19">
        <v>138</v>
      </c>
      <c r="G317" s="44">
        <v>0.33205497830000003</v>
      </c>
      <c r="H317" s="45" t="s">
        <v>176</v>
      </c>
      <c r="I317" s="19">
        <v>10</v>
      </c>
    </row>
    <row r="318" spans="1:9" x14ac:dyDescent="0.3">
      <c r="A318" s="19" t="s">
        <v>493</v>
      </c>
      <c r="B318" s="19">
        <v>883</v>
      </c>
      <c r="C318" s="43">
        <v>11.82901</v>
      </c>
      <c r="D318" s="43">
        <v>64.817341040000002</v>
      </c>
      <c r="E318" s="19">
        <v>173</v>
      </c>
      <c r="F318" s="19">
        <v>300</v>
      </c>
      <c r="G318" s="44">
        <v>0.36750238730000001</v>
      </c>
      <c r="H318" s="45" t="s">
        <v>176</v>
      </c>
      <c r="I318" s="19">
        <v>10</v>
      </c>
    </row>
    <row r="319" spans="1:9" x14ac:dyDescent="0.3">
      <c r="A319" s="19" t="s">
        <v>494</v>
      </c>
      <c r="B319" s="19">
        <v>749</v>
      </c>
      <c r="C319" s="43">
        <v>11.909494</v>
      </c>
      <c r="D319" s="43">
        <v>65.377393479999995</v>
      </c>
      <c r="E319" s="19">
        <v>399</v>
      </c>
      <c r="F319" s="19">
        <v>50</v>
      </c>
      <c r="G319" s="44">
        <v>0.367834677</v>
      </c>
      <c r="H319" s="45" t="s">
        <v>176</v>
      </c>
      <c r="I319" s="19">
        <v>10</v>
      </c>
    </row>
    <row r="320" spans="1:9" x14ac:dyDescent="0.3">
      <c r="A320" s="19" t="s">
        <v>495</v>
      </c>
      <c r="B320" s="19">
        <v>1143</v>
      </c>
      <c r="C320" s="43">
        <v>10.04959</v>
      </c>
      <c r="D320" s="43">
        <v>76.425203249999996</v>
      </c>
      <c r="E320" s="19">
        <v>123</v>
      </c>
      <c r="F320" s="19">
        <v>122</v>
      </c>
      <c r="G320" s="44">
        <v>0.4185042424</v>
      </c>
      <c r="H320" s="45" t="s">
        <v>176</v>
      </c>
      <c r="I320" s="19">
        <v>5</v>
      </c>
    </row>
    <row r="321" spans="1:9" x14ac:dyDescent="0.3">
      <c r="A321" s="19" t="s">
        <v>496</v>
      </c>
      <c r="B321" s="19">
        <v>933</v>
      </c>
      <c r="C321" s="43">
        <v>18.427990000000001</v>
      </c>
      <c r="D321" s="43">
        <v>125.8</v>
      </c>
      <c r="E321" s="19">
        <v>5</v>
      </c>
      <c r="F321" s="19">
        <v>214</v>
      </c>
      <c r="G321" s="44">
        <v>0.403513593</v>
      </c>
      <c r="H321" s="45" t="s">
        <v>176</v>
      </c>
      <c r="I321" s="19">
        <v>10</v>
      </c>
    </row>
    <row r="322" spans="1:9" x14ac:dyDescent="0.3">
      <c r="A322" s="19" t="s">
        <v>497</v>
      </c>
      <c r="B322" s="19">
        <v>863</v>
      </c>
      <c r="C322" s="43">
        <v>14.449590000000001</v>
      </c>
      <c r="D322" s="43">
        <v>46.401878240000002</v>
      </c>
      <c r="E322" s="19">
        <v>772</v>
      </c>
      <c r="F322" s="19">
        <v>59</v>
      </c>
      <c r="G322" s="44">
        <v>0.23859902769999999</v>
      </c>
      <c r="H322" s="45" t="s">
        <v>176</v>
      </c>
      <c r="I322" s="19">
        <v>5</v>
      </c>
    </row>
    <row r="323" spans="1:9" x14ac:dyDescent="0.3">
      <c r="A323" s="19" t="s">
        <v>498</v>
      </c>
      <c r="B323" s="19">
        <v>1139</v>
      </c>
      <c r="C323" s="43">
        <v>13.269590000000001</v>
      </c>
      <c r="D323" s="43">
        <v>33.397674420000001</v>
      </c>
      <c r="E323" s="19">
        <v>86</v>
      </c>
      <c r="F323" s="19">
        <v>210</v>
      </c>
      <c r="G323" s="44">
        <v>0.15267922149999999</v>
      </c>
      <c r="H323" s="45" t="s">
        <v>176</v>
      </c>
      <c r="I323" s="19">
        <v>5</v>
      </c>
    </row>
    <row r="324" spans="1:9" x14ac:dyDescent="0.3">
      <c r="A324" s="19" t="s">
        <v>499</v>
      </c>
      <c r="B324" s="19">
        <v>1050</v>
      </c>
      <c r="C324" s="43">
        <v>11.79214</v>
      </c>
      <c r="D324" s="43">
        <v>0</v>
      </c>
      <c r="E324" s="19">
        <v>0</v>
      </c>
      <c r="F324" s="19">
        <v>290</v>
      </c>
      <c r="G324" s="44">
        <v>0</v>
      </c>
      <c r="H324" s="45" t="s">
        <v>176</v>
      </c>
      <c r="I324" s="19">
        <v>5</v>
      </c>
    </row>
    <row r="325" spans="1:9" x14ac:dyDescent="0.3">
      <c r="A325" s="19" t="s">
        <v>500</v>
      </c>
      <c r="B325" s="19">
        <v>932</v>
      </c>
      <c r="C325" s="43">
        <v>5.6322749999999999</v>
      </c>
      <c r="D325" s="43">
        <v>32.08313253</v>
      </c>
      <c r="E325" s="19">
        <v>83</v>
      </c>
      <c r="F325" s="19">
        <v>199</v>
      </c>
      <c r="G325" s="44">
        <v>0.37444747270000001</v>
      </c>
      <c r="H325" s="45" t="s">
        <v>176</v>
      </c>
      <c r="I325" s="19">
        <v>10</v>
      </c>
    </row>
    <row r="326" spans="1:9" x14ac:dyDescent="0.3">
      <c r="A326" s="19" t="s">
        <v>501</v>
      </c>
      <c r="B326" s="19">
        <v>817</v>
      </c>
      <c r="C326" s="43">
        <v>18.333013000000001</v>
      </c>
      <c r="D326" s="43">
        <v>58.841157889999998</v>
      </c>
      <c r="E326" s="19">
        <v>285</v>
      </c>
      <c r="F326" s="19">
        <v>114</v>
      </c>
      <c r="G326" s="44">
        <v>0.23843215100000001</v>
      </c>
      <c r="H326" s="45" t="s">
        <v>176</v>
      </c>
      <c r="I326" s="19">
        <v>5</v>
      </c>
    </row>
    <row r="327" spans="1:9" x14ac:dyDescent="0.3">
      <c r="A327" s="19" t="s">
        <v>502</v>
      </c>
      <c r="B327" s="19">
        <v>710</v>
      </c>
      <c r="C327" s="43">
        <v>7.6932200000000002</v>
      </c>
      <c r="D327" s="43">
        <v>36.835288749999997</v>
      </c>
      <c r="E327" s="19">
        <v>658</v>
      </c>
      <c r="F327" s="19">
        <v>61</v>
      </c>
      <c r="G327" s="44">
        <v>0.34114538639999997</v>
      </c>
      <c r="H327" s="45" t="s">
        <v>176</v>
      </c>
      <c r="I327" s="19">
        <v>10</v>
      </c>
    </row>
    <row r="328" spans="1:9" x14ac:dyDescent="0.3">
      <c r="A328" s="19" t="s">
        <v>503</v>
      </c>
      <c r="B328" s="19">
        <v>906</v>
      </c>
      <c r="C328" s="43">
        <v>31.628540000000001</v>
      </c>
      <c r="D328" s="43">
        <v>182.42400000000001</v>
      </c>
      <c r="E328" s="19">
        <v>30</v>
      </c>
      <c r="F328" s="19">
        <v>176</v>
      </c>
      <c r="G328" s="44">
        <v>0.37662072969999999</v>
      </c>
      <c r="H328" s="45" t="s">
        <v>176</v>
      </c>
      <c r="I328" s="19">
        <v>5</v>
      </c>
    </row>
    <row r="329" spans="1:9" x14ac:dyDescent="0.3">
      <c r="A329" s="19" t="s">
        <v>504</v>
      </c>
      <c r="B329" s="19">
        <v>711</v>
      </c>
      <c r="C329" s="43">
        <v>5.0908579999999999</v>
      </c>
      <c r="D329" s="43">
        <v>30.20347507</v>
      </c>
      <c r="E329" s="19">
        <v>3269</v>
      </c>
      <c r="F329" s="19">
        <v>10</v>
      </c>
      <c r="G329" s="44">
        <v>0.38144793809999999</v>
      </c>
      <c r="H329" s="45" t="s">
        <v>176</v>
      </c>
      <c r="I329" s="19">
        <v>10</v>
      </c>
    </row>
    <row r="330" spans="1:9" x14ac:dyDescent="0.3">
      <c r="A330" s="19" t="s">
        <v>505</v>
      </c>
      <c r="B330" s="19">
        <v>936</v>
      </c>
      <c r="C330" s="43">
        <v>18.61673</v>
      </c>
      <c r="D330" s="43">
        <v>141.42857140000001</v>
      </c>
      <c r="E330" s="19">
        <v>35</v>
      </c>
      <c r="F330" s="19">
        <v>175</v>
      </c>
      <c r="G330" s="44">
        <v>0.41836655560000002</v>
      </c>
      <c r="H330" s="45" t="s">
        <v>176</v>
      </c>
      <c r="I330" s="19">
        <v>5</v>
      </c>
    </row>
    <row r="331" spans="1:9" x14ac:dyDescent="0.3">
      <c r="A331" s="19" t="s">
        <v>506</v>
      </c>
      <c r="B331" s="19">
        <v>756</v>
      </c>
      <c r="C331" s="43">
        <v>8.0433400000000006</v>
      </c>
      <c r="D331" s="43">
        <v>34.883769630000003</v>
      </c>
      <c r="E331" s="19">
        <v>764</v>
      </c>
      <c r="F331" s="19">
        <v>60</v>
      </c>
      <c r="G331" s="44">
        <v>0.31942457530000001</v>
      </c>
      <c r="H331" s="45" t="s">
        <v>176</v>
      </c>
      <c r="I331" s="19">
        <v>10</v>
      </c>
    </row>
    <row r="332" spans="1:9" x14ac:dyDescent="0.3">
      <c r="A332" s="19" t="s">
        <v>507</v>
      </c>
      <c r="B332" s="19">
        <v>1240</v>
      </c>
      <c r="C332" s="43">
        <v>14.6867708</v>
      </c>
      <c r="D332" s="43">
        <v>69.470344830000002</v>
      </c>
      <c r="E332" s="19">
        <v>29</v>
      </c>
      <c r="F332" s="19">
        <v>273</v>
      </c>
      <c r="G332" s="44">
        <v>0.33858934940000002</v>
      </c>
      <c r="H332" s="45" t="s">
        <v>176</v>
      </c>
      <c r="I332" s="19">
        <v>5</v>
      </c>
    </row>
    <row r="333" spans="1:9" x14ac:dyDescent="0.3">
      <c r="A333" s="19" t="s">
        <v>508</v>
      </c>
      <c r="B333" s="19">
        <v>2085</v>
      </c>
      <c r="C333" s="43">
        <v>5.7091900000000004</v>
      </c>
      <c r="D333" s="43">
        <v>73.091666669999995</v>
      </c>
      <c r="E333" s="19">
        <v>12</v>
      </c>
      <c r="F333" s="19">
        <v>364</v>
      </c>
      <c r="G333" s="44">
        <v>0.47189000110000001</v>
      </c>
      <c r="H333" s="45" t="s">
        <v>176</v>
      </c>
      <c r="I333" s="19">
        <v>10</v>
      </c>
    </row>
    <row r="334" spans="1:9" x14ac:dyDescent="0.3">
      <c r="A334" s="19" t="s">
        <v>509</v>
      </c>
      <c r="B334" s="19">
        <v>1430</v>
      </c>
      <c r="C334" s="43">
        <v>4.9845899999999999</v>
      </c>
      <c r="D334" s="43">
        <v>0</v>
      </c>
      <c r="E334" s="19">
        <v>0</v>
      </c>
      <c r="F334" s="19">
        <v>291</v>
      </c>
      <c r="G334" s="44">
        <v>0</v>
      </c>
      <c r="H334" s="45" t="s">
        <v>176</v>
      </c>
      <c r="I334" s="19">
        <v>5</v>
      </c>
    </row>
    <row r="335" spans="1:9" x14ac:dyDescent="0.3">
      <c r="A335" s="19" t="s">
        <v>510</v>
      </c>
      <c r="B335" s="19">
        <v>921</v>
      </c>
      <c r="C335" s="43">
        <v>5.4295900000000001</v>
      </c>
      <c r="D335" s="43">
        <v>0</v>
      </c>
      <c r="E335" s="19">
        <v>0</v>
      </c>
      <c r="F335" s="19">
        <v>292</v>
      </c>
      <c r="G335" s="44">
        <v>0</v>
      </c>
      <c r="H335" s="45" t="s">
        <v>176</v>
      </c>
      <c r="I335" s="19">
        <v>10</v>
      </c>
    </row>
    <row r="336" spans="1:9" x14ac:dyDescent="0.3">
      <c r="A336" s="19" t="s">
        <v>511</v>
      </c>
      <c r="B336" s="19">
        <v>713</v>
      </c>
      <c r="C336" s="43">
        <v>5.1011899999999999</v>
      </c>
      <c r="D336" s="43">
        <v>21.856604879999999</v>
      </c>
      <c r="E336" s="19">
        <v>1025</v>
      </c>
      <c r="F336" s="19">
        <v>70</v>
      </c>
      <c r="G336" s="44">
        <v>0.31660647759999999</v>
      </c>
      <c r="H336" s="45" t="s">
        <v>176</v>
      </c>
      <c r="I336" s="19">
        <v>10</v>
      </c>
    </row>
    <row r="337" spans="1:9" x14ac:dyDescent="0.3">
      <c r="A337" s="19" t="s">
        <v>512</v>
      </c>
      <c r="B337" s="19">
        <v>1153</v>
      </c>
      <c r="C337" s="43">
        <v>4.9030899999999997</v>
      </c>
      <c r="D337" s="43">
        <v>0</v>
      </c>
      <c r="E337" s="19">
        <v>0</v>
      </c>
      <c r="F337" s="19">
        <v>475</v>
      </c>
      <c r="G337" s="44">
        <v>0</v>
      </c>
      <c r="H337" s="46" t="s">
        <v>182</v>
      </c>
      <c r="I337" s="19">
        <v>10</v>
      </c>
    </row>
    <row r="338" spans="1:9" x14ac:dyDescent="0.3">
      <c r="A338" s="19" t="s">
        <v>513</v>
      </c>
      <c r="B338" s="19">
        <v>822</v>
      </c>
      <c r="C338" s="43">
        <v>4.9030899999999997</v>
      </c>
      <c r="D338" s="43">
        <v>24.62424433</v>
      </c>
      <c r="E338" s="19">
        <v>2865</v>
      </c>
      <c r="F338" s="19">
        <v>22</v>
      </c>
      <c r="G338" s="44">
        <v>0.35088363589999999</v>
      </c>
      <c r="H338" s="45" t="s">
        <v>176</v>
      </c>
      <c r="I338" s="19">
        <v>10</v>
      </c>
    </row>
    <row r="339" spans="1:9" x14ac:dyDescent="0.3">
      <c r="A339" s="19" t="s">
        <v>514</v>
      </c>
      <c r="B339" s="19">
        <v>971</v>
      </c>
      <c r="C339" s="43">
        <v>19.81709</v>
      </c>
      <c r="D339" s="43">
        <v>131.84288660000001</v>
      </c>
      <c r="E339" s="19">
        <v>97</v>
      </c>
      <c r="F339" s="19">
        <v>98</v>
      </c>
      <c r="G339" s="44">
        <v>0.39969162530000002</v>
      </c>
      <c r="H339" s="45" t="s">
        <v>176</v>
      </c>
      <c r="I339" s="19">
        <v>50</v>
      </c>
    </row>
    <row r="340" spans="1:9" x14ac:dyDescent="0.3">
      <c r="A340" s="19" t="s">
        <v>515</v>
      </c>
      <c r="B340" s="19">
        <v>2187</v>
      </c>
      <c r="C340" s="43">
        <v>14.189439999999999</v>
      </c>
      <c r="D340" s="43">
        <v>0</v>
      </c>
      <c r="E340" s="19">
        <v>0</v>
      </c>
      <c r="F340" s="19">
        <v>465</v>
      </c>
      <c r="G340" s="44">
        <v>0</v>
      </c>
      <c r="H340" s="46" t="s">
        <v>182</v>
      </c>
      <c r="I340" s="19">
        <v>5</v>
      </c>
    </row>
    <row r="341" spans="1:9" x14ac:dyDescent="0.3">
      <c r="A341" s="19" t="s">
        <v>516</v>
      </c>
      <c r="B341" s="19">
        <v>1114</v>
      </c>
      <c r="C341" s="43">
        <v>17.904686000000002</v>
      </c>
      <c r="D341" s="43">
        <v>0</v>
      </c>
      <c r="E341" s="19">
        <v>0</v>
      </c>
      <c r="F341" s="19">
        <v>223</v>
      </c>
      <c r="G341" s="44">
        <v>0</v>
      </c>
      <c r="H341" s="45" t="s">
        <v>176</v>
      </c>
      <c r="I341" s="19">
        <v>5</v>
      </c>
    </row>
    <row r="342" spans="1:9" x14ac:dyDescent="0.3">
      <c r="A342" s="19" t="s">
        <v>517</v>
      </c>
      <c r="B342" s="19">
        <v>1040</v>
      </c>
      <c r="C342" s="43">
        <v>0</v>
      </c>
      <c r="D342" s="43">
        <v>0</v>
      </c>
      <c r="E342" s="19">
        <v>0</v>
      </c>
      <c r="F342" s="19">
        <v>293</v>
      </c>
      <c r="G342" s="44">
        <v>0</v>
      </c>
      <c r="H342" s="45" t="s">
        <v>176</v>
      </c>
      <c r="I342" s="19">
        <v>5</v>
      </c>
    </row>
    <row r="343" spans="1:9" x14ac:dyDescent="0.3">
      <c r="A343" s="19" t="s">
        <v>518</v>
      </c>
      <c r="B343" s="19">
        <v>2086</v>
      </c>
      <c r="C343" s="43">
        <v>3.6036899999999998</v>
      </c>
      <c r="D343" s="43">
        <v>30.74</v>
      </c>
      <c r="E343" s="19">
        <v>5</v>
      </c>
      <c r="F343" s="19">
        <v>428</v>
      </c>
      <c r="G343" s="44">
        <v>0.4327687053</v>
      </c>
      <c r="H343" s="46" t="s">
        <v>182</v>
      </c>
      <c r="I343" s="19">
        <v>10</v>
      </c>
    </row>
    <row r="344" spans="1:9" x14ac:dyDescent="0.3">
      <c r="A344" s="19" t="s">
        <v>519</v>
      </c>
      <c r="B344" s="19">
        <v>1117</v>
      </c>
      <c r="C344" s="43">
        <v>10.56959</v>
      </c>
      <c r="D344" s="43">
        <v>55.737187499999997</v>
      </c>
      <c r="E344" s="19">
        <v>32</v>
      </c>
      <c r="F344" s="19">
        <v>274</v>
      </c>
      <c r="G344" s="44">
        <v>0.36036736019999999</v>
      </c>
      <c r="H344" s="45" t="s">
        <v>176</v>
      </c>
      <c r="I344" s="19">
        <v>5</v>
      </c>
    </row>
    <row r="345" spans="1:9" x14ac:dyDescent="0.3">
      <c r="A345" s="19" t="s">
        <v>520</v>
      </c>
      <c r="B345" s="19">
        <v>929</v>
      </c>
      <c r="C345" s="43">
        <v>2.81589</v>
      </c>
      <c r="D345" s="43">
        <v>34.103124999999999</v>
      </c>
      <c r="E345" s="19">
        <v>80</v>
      </c>
      <c r="F345" s="19">
        <v>258</v>
      </c>
      <c r="G345" s="44">
        <v>0.4674301475</v>
      </c>
      <c r="H345" s="45" t="s">
        <v>176</v>
      </c>
      <c r="I345" s="19">
        <v>10</v>
      </c>
    </row>
    <row r="346" spans="1:9" x14ac:dyDescent="0.3">
      <c r="A346" s="19" t="s">
        <v>521</v>
      </c>
      <c r="B346" s="19">
        <v>908</v>
      </c>
      <c r="C346" s="43">
        <v>7.8795900000000003</v>
      </c>
      <c r="D346" s="43">
        <v>26.68928571</v>
      </c>
      <c r="E346" s="19">
        <v>84</v>
      </c>
      <c r="F346" s="19">
        <v>276</v>
      </c>
      <c r="G346" s="44">
        <v>0.25476579690000001</v>
      </c>
      <c r="H346" s="45" t="s">
        <v>176</v>
      </c>
      <c r="I346" s="19">
        <v>10</v>
      </c>
    </row>
    <row r="347" spans="1:9" x14ac:dyDescent="0.3">
      <c r="A347" s="19" t="s">
        <v>522</v>
      </c>
      <c r="B347" s="19">
        <v>714</v>
      </c>
      <c r="C347" s="43">
        <v>4.96319</v>
      </c>
      <c r="D347" s="43">
        <v>38.932573529999999</v>
      </c>
      <c r="E347" s="19">
        <v>680</v>
      </c>
      <c r="F347" s="19">
        <v>42</v>
      </c>
      <c r="G347" s="44">
        <v>0.42251831690000002</v>
      </c>
      <c r="H347" s="45" t="s">
        <v>176</v>
      </c>
      <c r="I347" s="19">
        <v>10</v>
      </c>
    </row>
    <row r="348" spans="1:9" x14ac:dyDescent="0.3">
      <c r="A348" s="19" t="s">
        <v>523</v>
      </c>
      <c r="B348" s="19">
        <v>1911</v>
      </c>
      <c r="C348" s="43">
        <v>12.8461892</v>
      </c>
      <c r="D348" s="43">
        <v>59</v>
      </c>
      <c r="E348" s="19">
        <v>1</v>
      </c>
      <c r="F348" s="19">
        <v>447</v>
      </c>
      <c r="G348" s="44">
        <v>0.33226797969999999</v>
      </c>
      <c r="H348" s="46" t="s">
        <v>182</v>
      </c>
      <c r="I348" s="19">
        <v>10</v>
      </c>
    </row>
    <row r="349" spans="1:9" x14ac:dyDescent="0.3">
      <c r="A349" s="19" t="s">
        <v>524</v>
      </c>
      <c r="B349" s="19">
        <v>2087</v>
      </c>
      <c r="C349" s="43">
        <v>4.9276476999999996</v>
      </c>
      <c r="D349" s="43">
        <v>31.518072289999999</v>
      </c>
      <c r="E349" s="19">
        <v>83</v>
      </c>
      <c r="F349" s="19">
        <v>197</v>
      </c>
      <c r="G349" s="44">
        <v>0.39365643769999997</v>
      </c>
      <c r="H349" s="45" t="s">
        <v>176</v>
      </c>
      <c r="I349" s="19">
        <v>10</v>
      </c>
    </row>
    <row r="350" spans="1:9" x14ac:dyDescent="0.3">
      <c r="A350" s="19" t="s">
        <v>525</v>
      </c>
      <c r="B350" s="19">
        <v>954</v>
      </c>
      <c r="C350" s="43">
        <v>14.95504</v>
      </c>
      <c r="D350" s="43">
        <v>57.22363636</v>
      </c>
      <c r="E350" s="19">
        <v>44</v>
      </c>
      <c r="F350" s="19">
        <v>269</v>
      </c>
      <c r="G350" s="44">
        <v>0.28865624499999998</v>
      </c>
      <c r="H350" s="45" t="s">
        <v>176</v>
      </c>
      <c r="I350" s="19">
        <v>10</v>
      </c>
    </row>
    <row r="351" spans="1:9" x14ac:dyDescent="0.3">
      <c r="A351" s="19" t="s">
        <v>526</v>
      </c>
      <c r="B351" s="19">
        <v>715</v>
      </c>
      <c r="C351" s="43">
        <v>8.594201</v>
      </c>
      <c r="D351" s="43">
        <v>37.080561000000003</v>
      </c>
      <c r="E351" s="19">
        <v>1123</v>
      </c>
      <c r="F351" s="19">
        <v>34</v>
      </c>
      <c r="G351" s="44">
        <v>0.31822893810000003</v>
      </c>
      <c r="H351" s="45" t="s">
        <v>176</v>
      </c>
      <c r="I351" s="19">
        <v>10</v>
      </c>
    </row>
    <row r="352" spans="1:9" x14ac:dyDescent="0.3">
      <c r="A352" s="19" t="s">
        <v>527</v>
      </c>
      <c r="B352" s="19">
        <v>885</v>
      </c>
      <c r="C352" s="43">
        <v>2.61219</v>
      </c>
      <c r="D352" s="43">
        <v>10.93162712</v>
      </c>
      <c r="E352" s="19">
        <v>2950</v>
      </c>
      <c r="F352" s="19">
        <v>45</v>
      </c>
      <c r="G352" s="44">
        <v>0.31104289219999998</v>
      </c>
      <c r="H352" s="45" t="s">
        <v>176</v>
      </c>
      <c r="I352" s="19">
        <v>10</v>
      </c>
    </row>
    <row r="353" spans="1:9" x14ac:dyDescent="0.3">
      <c r="A353" s="19" t="s">
        <v>528</v>
      </c>
      <c r="B353" s="19">
        <v>1140</v>
      </c>
      <c r="C353" s="43">
        <v>12.331989999999999</v>
      </c>
      <c r="D353" s="43">
        <v>64.230833329999996</v>
      </c>
      <c r="E353" s="19">
        <v>48</v>
      </c>
      <c r="F353" s="19">
        <v>255</v>
      </c>
      <c r="G353" s="44">
        <v>0.35800513769999998</v>
      </c>
      <c r="H353" s="45" t="s">
        <v>176</v>
      </c>
      <c r="I353" s="19">
        <v>5</v>
      </c>
    </row>
    <row r="354" spans="1:9" x14ac:dyDescent="0.3">
      <c r="A354" s="19" t="s">
        <v>529</v>
      </c>
      <c r="B354" s="19">
        <v>1242</v>
      </c>
      <c r="C354" s="43">
        <v>7.4710400000000003</v>
      </c>
      <c r="D354" s="43">
        <v>33.932075470000001</v>
      </c>
      <c r="E354" s="19">
        <v>106</v>
      </c>
      <c r="F354" s="19">
        <v>250</v>
      </c>
      <c r="G354" s="44">
        <v>0.32982366549999997</v>
      </c>
      <c r="H354" s="45" t="s">
        <v>176</v>
      </c>
      <c r="I354" s="19">
        <v>5</v>
      </c>
    </row>
    <row r="355" spans="1:9" x14ac:dyDescent="0.3">
      <c r="A355" s="19" t="s">
        <v>530</v>
      </c>
      <c r="B355" s="19">
        <v>1141</v>
      </c>
      <c r="C355" s="43">
        <v>11.5437046</v>
      </c>
      <c r="D355" s="43">
        <v>53.196428570000002</v>
      </c>
      <c r="E355" s="19">
        <v>56</v>
      </c>
      <c r="F355" s="19">
        <v>261</v>
      </c>
      <c r="G355" s="44">
        <v>0.3329985037</v>
      </c>
      <c r="H355" s="45" t="s">
        <v>176</v>
      </c>
      <c r="I355" s="19">
        <v>10</v>
      </c>
    </row>
    <row r="356" spans="1:9" x14ac:dyDescent="0.3">
      <c r="A356" s="19" t="s">
        <v>531</v>
      </c>
      <c r="B356" s="19">
        <v>1041</v>
      </c>
      <c r="C356" s="43">
        <v>0</v>
      </c>
      <c r="D356" s="43">
        <v>0</v>
      </c>
      <c r="E356" s="19">
        <v>0</v>
      </c>
      <c r="F356" s="19">
        <v>476</v>
      </c>
      <c r="G356" s="44">
        <v>0</v>
      </c>
      <c r="H356" s="46" t="s">
        <v>182</v>
      </c>
      <c r="I356" s="19">
        <v>5</v>
      </c>
    </row>
    <row r="357" spans="1:9" x14ac:dyDescent="0.3">
      <c r="A357" s="19" t="s">
        <v>532</v>
      </c>
      <c r="B357" s="19">
        <v>1004</v>
      </c>
      <c r="C357" s="43">
        <v>2.0095900000000002</v>
      </c>
      <c r="D357" s="43">
        <v>19.570744680000001</v>
      </c>
      <c r="E357" s="19">
        <v>376</v>
      </c>
      <c r="F357" s="19">
        <v>137</v>
      </c>
      <c r="G357" s="44">
        <v>0.44731663090000001</v>
      </c>
      <c r="H357" s="45" t="s">
        <v>176</v>
      </c>
      <c r="I357" s="19">
        <v>10</v>
      </c>
    </row>
    <row r="358" spans="1:9" x14ac:dyDescent="0.3">
      <c r="A358" s="19" t="s">
        <v>533</v>
      </c>
      <c r="B358" s="19">
        <v>786</v>
      </c>
      <c r="C358" s="43">
        <v>5.1895170000000004</v>
      </c>
      <c r="D358" s="43">
        <v>22.437191039999998</v>
      </c>
      <c r="E358" s="19">
        <v>3884</v>
      </c>
      <c r="F358" s="19">
        <v>19</v>
      </c>
      <c r="G358" s="44">
        <v>0.3187091494</v>
      </c>
      <c r="H358" s="45" t="s">
        <v>176</v>
      </c>
      <c r="I358" s="19">
        <v>10</v>
      </c>
    </row>
    <row r="359" spans="1:9" x14ac:dyDescent="0.3">
      <c r="A359" s="19" t="s">
        <v>534</v>
      </c>
      <c r="B359" s="19">
        <v>1243</v>
      </c>
      <c r="C359" s="43">
        <v>21.249224999999999</v>
      </c>
      <c r="D359" s="43">
        <v>90.205337240000006</v>
      </c>
      <c r="E359" s="19">
        <v>341</v>
      </c>
      <c r="F359" s="19">
        <v>47</v>
      </c>
      <c r="G359" s="44">
        <v>0.31443494750000001</v>
      </c>
      <c r="H359" s="45" t="s">
        <v>176</v>
      </c>
      <c r="I359" s="19">
        <v>50</v>
      </c>
    </row>
    <row r="360" spans="1:9" x14ac:dyDescent="0.3">
      <c r="A360" s="19" t="s">
        <v>535</v>
      </c>
      <c r="B360" s="19">
        <v>892</v>
      </c>
      <c r="C360" s="43">
        <v>6.9114399999999998</v>
      </c>
      <c r="D360" s="43">
        <v>31.506632499999998</v>
      </c>
      <c r="E360" s="19">
        <v>683</v>
      </c>
      <c r="F360" s="19">
        <v>68</v>
      </c>
      <c r="G360" s="44">
        <v>0.33063539479999998</v>
      </c>
      <c r="H360" s="45" t="s">
        <v>176</v>
      </c>
      <c r="I360" s="19">
        <v>5</v>
      </c>
    </row>
    <row r="361" spans="1:9" x14ac:dyDescent="0.3">
      <c r="A361" s="19" t="s">
        <v>536</v>
      </c>
      <c r="B361" s="19">
        <v>716</v>
      </c>
      <c r="C361" s="43">
        <v>4.63009</v>
      </c>
      <c r="D361" s="43">
        <v>33.950161809999997</v>
      </c>
      <c r="E361" s="19">
        <v>618</v>
      </c>
      <c r="F361" s="19">
        <v>58</v>
      </c>
      <c r="G361" s="44">
        <v>0.41362097399999997</v>
      </c>
      <c r="H361" s="45" t="s">
        <v>176</v>
      </c>
      <c r="I361" s="19">
        <v>10</v>
      </c>
    </row>
    <row r="362" spans="1:9" x14ac:dyDescent="0.3">
      <c r="A362" s="19" t="s">
        <v>537</v>
      </c>
      <c r="B362" s="19">
        <v>1912</v>
      </c>
      <c r="C362" s="43">
        <v>12.71841</v>
      </c>
      <c r="D362" s="43">
        <v>68.659090910000003</v>
      </c>
      <c r="E362" s="19">
        <v>11</v>
      </c>
      <c r="F362" s="19">
        <v>283</v>
      </c>
      <c r="G362" s="44">
        <v>0.36475999999999997</v>
      </c>
      <c r="H362" s="45" t="s">
        <v>176</v>
      </c>
      <c r="I362" s="19">
        <v>10</v>
      </c>
    </row>
    <row r="363" spans="1:9" x14ac:dyDescent="0.3">
      <c r="A363" s="19" t="s">
        <v>538</v>
      </c>
      <c r="B363" s="19">
        <v>930</v>
      </c>
      <c r="C363" s="43">
        <v>6.6444251999999997</v>
      </c>
      <c r="D363" s="43">
        <v>48.344444439999997</v>
      </c>
      <c r="E363" s="19">
        <v>36</v>
      </c>
      <c r="F363" s="19">
        <v>271</v>
      </c>
      <c r="G363" s="44">
        <v>0.41256072900000001</v>
      </c>
      <c r="H363" s="45" t="s">
        <v>176</v>
      </c>
      <c r="I363" s="19">
        <v>10</v>
      </c>
    </row>
    <row r="364" spans="1:9" x14ac:dyDescent="0.3">
      <c r="A364" s="19" t="s">
        <v>539</v>
      </c>
      <c r="B364" s="19">
        <v>1206</v>
      </c>
      <c r="C364" s="43">
        <v>21.069590000000002</v>
      </c>
      <c r="D364" s="43">
        <v>57.833333330000002</v>
      </c>
      <c r="E364" s="19">
        <v>6</v>
      </c>
      <c r="F364" s="19">
        <v>431</v>
      </c>
      <c r="G364" s="44">
        <v>0.1856843228</v>
      </c>
      <c r="H364" s="46" t="s">
        <v>182</v>
      </c>
      <c r="I364" s="19">
        <v>10</v>
      </c>
    </row>
    <row r="365" spans="1:9" x14ac:dyDescent="0.3">
      <c r="A365" s="19" t="s">
        <v>540</v>
      </c>
      <c r="B365" s="19">
        <v>789</v>
      </c>
      <c r="C365" s="43">
        <v>15.505190000000001</v>
      </c>
      <c r="D365" s="43">
        <v>71.52635678</v>
      </c>
      <c r="E365" s="19">
        <v>398</v>
      </c>
      <c r="F365" s="19">
        <v>51</v>
      </c>
      <c r="G365" s="44">
        <v>0.3332241051</v>
      </c>
      <c r="H365" s="45" t="s">
        <v>176</v>
      </c>
      <c r="I365" s="19">
        <v>5</v>
      </c>
    </row>
    <row r="366" spans="1:9" x14ac:dyDescent="0.3">
      <c r="A366" s="19" t="s">
        <v>541</v>
      </c>
      <c r="B366" s="19">
        <v>969</v>
      </c>
      <c r="C366" s="43">
        <v>1.7472000000000001</v>
      </c>
      <c r="D366" s="43">
        <v>35.167453420000001</v>
      </c>
      <c r="E366" s="19">
        <v>161</v>
      </c>
      <c r="F366" s="19">
        <v>152</v>
      </c>
      <c r="G366" s="44">
        <v>0.50031769920000002</v>
      </c>
      <c r="H366" s="45" t="s">
        <v>176</v>
      </c>
      <c r="I366" s="19">
        <v>10</v>
      </c>
    </row>
    <row r="367" spans="1:9" x14ac:dyDescent="0.3">
      <c r="A367" s="19" t="s">
        <v>542</v>
      </c>
      <c r="B367" s="19">
        <v>788</v>
      </c>
      <c r="C367" s="43">
        <v>26.882885999999999</v>
      </c>
      <c r="D367" s="43">
        <v>64.191724140000005</v>
      </c>
      <c r="E367" s="19">
        <v>290</v>
      </c>
      <c r="F367" s="19">
        <v>158</v>
      </c>
      <c r="G367" s="44">
        <v>0.1312094727</v>
      </c>
      <c r="H367" s="45" t="s">
        <v>176</v>
      </c>
      <c r="I367" s="19">
        <v>10</v>
      </c>
    </row>
    <row r="368" spans="1:9" x14ac:dyDescent="0.3">
      <c r="A368" s="19" t="s">
        <v>543</v>
      </c>
      <c r="B368" s="19">
        <v>910</v>
      </c>
      <c r="C368" s="43">
        <v>20.560390000000002</v>
      </c>
      <c r="D368" s="43">
        <v>79.1875</v>
      </c>
      <c r="E368" s="19">
        <v>16</v>
      </c>
      <c r="F368" s="19">
        <v>212</v>
      </c>
      <c r="G368" s="44">
        <v>0.29035813729999999</v>
      </c>
      <c r="H368" s="45" t="s">
        <v>176</v>
      </c>
      <c r="I368" s="19">
        <v>10</v>
      </c>
    </row>
    <row r="369" spans="1:9" x14ac:dyDescent="0.3">
      <c r="A369" s="19" t="s">
        <v>544</v>
      </c>
      <c r="B369" s="19">
        <v>1122</v>
      </c>
      <c r="C369" s="43">
        <v>9.5793309999999998</v>
      </c>
      <c r="D369" s="43">
        <v>70</v>
      </c>
      <c r="E369" s="19">
        <v>8</v>
      </c>
      <c r="F369" s="19">
        <v>285</v>
      </c>
      <c r="G369" s="44">
        <v>0.41315241429999999</v>
      </c>
      <c r="H369" s="45" t="s">
        <v>176</v>
      </c>
      <c r="I369" s="19">
        <v>5</v>
      </c>
    </row>
    <row r="370" spans="1:9" x14ac:dyDescent="0.3">
      <c r="A370" s="19" t="s">
        <v>545</v>
      </c>
      <c r="B370" s="19">
        <v>1154</v>
      </c>
      <c r="C370" s="43">
        <v>2.97959</v>
      </c>
      <c r="D370" s="43">
        <v>0</v>
      </c>
      <c r="E370" s="19">
        <v>0</v>
      </c>
      <c r="F370" s="19">
        <v>477</v>
      </c>
      <c r="G370" s="44">
        <v>0</v>
      </c>
      <c r="H370" s="46" t="s">
        <v>182</v>
      </c>
      <c r="I370" s="19">
        <v>10</v>
      </c>
    </row>
    <row r="371" spans="1:9" x14ac:dyDescent="0.3">
      <c r="A371" s="19" t="s">
        <v>546</v>
      </c>
      <c r="B371" s="19">
        <v>717</v>
      </c>
      <c r="C371" s="43">
        <v>2.4468899999999998</v>
      </c>
      <c r="D371" s="43">
        <v>20.56938628</v>
      </c>
      <c r="E371" s="19">
        <v>554</v>
      </c>
      <c r="F371" s="19">
        <v>103</v>
      </c>
      <c r="G371" s="44">
        <v>0.43104214839999999</v>
      </c>
      <c r="H371" s="45" t="s">
        <v>176</v>
      </c>
      <c r="I371" s="19">
        <v>10</v>
      </c>
    </row>
    <row r="372" spans="1:9" x14ac:dyDescent="0.3">
      <c r="A372" s="19" t="s">
        <v>547</v>
      </c>
      <c r="B372" s="19">
        <v>1081</v>
      </c>
      <c r="C372" s="43">
        <v>3.01959</v>
      </c>
      <c r="D372" s="43">
        <v>23.06097561</v>
      </c>
      <c r="E372" s="19">
        <v>82</v>
      </c>
      <c r="F372" s="19">
        <v>267</v>
      </c>
      <c r="G372" s="44">
        <v>0.4190606134</v>
      </c>
      <c r="H372" s="45" t="s">
        <v>176</v>
      </c>
      <c r="I372" s="19">
        <v>5</v>
      </c>
    </row>
    <row r="373" spans="1:9" x14ac:dyDescent="0.3">
      <c r="A373" s="19" t="s">
        <v>548</v>
      </c>
      <c r="B373" s="19">
        <v>718</v>
      </c>
      <c r="C373" s="43">
        <v>2.97959</v>
      </c>
      <c r="D373" s="43">
        <v>15.109849929999999</v>
      </c>
      <c r="E373" s="19">
        <v>5331</v>
      </c>
      <c r="F373" s="19">
        <v>17</v>
      </c>
      <c r="G373" s="44">
        <v>0.35280479199999998</v>
      </c>
      <c r="H373" s="45" t="s">
        <v>176</v>
      </c>
      <c r="I373" s="19">
        <v>10</v>
      </c>
    </row>
    <row r="374" spans="1:9" x14ac:dyDescent="0.3">
      <c r="A374" s="19" t="s">
        <v>549</v>
      </c>
      <c r="B374" s="19">
        <v>945</v>
      </c>
      <c r="C374" s="43">
        <v>10.199590000000001</v>
      </c>
      <c r="D374" s="43">
        <v>72.841415089999998</v>
      </c>
      <c r="E374" s="19">
        <v>212</v>
      </c>
      <c r="F374" s="19">
        <v>78</v>
      </c>
      <c r="G374" s="44">
        <v>0.40997540020000001</v>
      </c>
      <c r="H374" s="45" t="s">
        <v>176</v>
      </c>
      <c r="I374" s="19">
        <v>50</v>
      </c>
    </row>
    <row r="375" spans="1:9" x14ac:dyDescent="0.3">
      <c r="A375" s="19" t="s">
        <v>550</v>
      </c>
      <c r="B375" s="19">
        <v>750</v>
      </c>
      <c r="C375" s="43">
        <v>11.866110000000001</v>
      </c>
      <c r="D375" s="43">
        <v>55.025294119999998</v>
      </c>
      <c r="E375" s="19">
        <v>527</v>
      </c>
      <c r="F375" s="19">
        <v>46</v>
      </c>
      <c r="G375" s="44">
        <v>0.33435172060000001</v>
      </c>
      <c r="H375" s="45" t="s">
        <v>176</v>
      </c>
      <c r="I375" s="19">
        <v>10</v>
      </c>
    </row>
    <row r="376" spans="1:9" x14ac:dyDescent="0.3">
      <c r="A376" s="19" t="s">
        <v>551</v>
      </c>
      <c r="B376" s="19">
        <v>1112</v>
      </c>
      <c r="C376" s="43">
        <v>7.6695900000000004</v>
      </c>
      <c r="D376" s="43">
        <v>27.91808511</v>
      </c>
      <c r="E376" s="19">
        <v>47</v>
      </c>
      <c r="F376" s="19">
        <v>373</v>
      </c>
      <c r="G376" s="44">
        <v>0.27528237630000002</v>
      </c>
      <c r="H376" s="45" t="s">
        <v>176</v>
      </c>
      <c r="I376" s="19">
        <v>10</v>
      </c>
    </row>
    <row r="377" spans="1:9" x14ac:dyDescent="0.3">
      <c r="A377" s="19" t="s">
        <v>552</v>
      </c>
      <c r="B377" s="19">
        <v>1109</v>
      </c>
      <c r="C377" s="43">
        <v>8.0619899999999998</v>
      </c>
      <c r="D377" s="43">
        <v>40.359375</v>
      </c>
      <c r="E377" s="19">
        <v>32</v>
      </c>
      <c r="F377" s="19">
        <v>281</v>
      </c>
      <c r="G377" s="44">
        <v>0.3502449245</v>
      </c>
      <c r="H377" s="45" t="s">
        <v>176</v>
      </c>
      <c r="I377" s="19">
        <v>10</v>
      </c>
    </row>
    <row r="378" spans="1:9" x14ac:dyDescent="0.3">
      <c r="A378" s="19" t="s">
        <v>553</v>
      </c>
      <c r="B378" s="19">
        <v>2236</v>
      </c>
      <c r="C378" s="43">
        <v>5.3495900000000001</v>
      </c>
      <c r="D378" s="43">
        <v>0</v>
      </c>
      <c r="E378" s="19">
        <v>0</v>
      </c>
      <c r="F378" s="19" t="s">
        <v>181</v>
      </c>
      <c r="G378" s="44">
        <v>0</v>
      </c>
      <c r="H378" s="46" t="s">
        <v>182</v>
      </c>
      <c r="I378" s="19">
        <v>5</v>
      </c>
    </row>
    <row r="379" spans="1:9" x14ac:dyDescent="0.3">
      <c r="A379" s="19" t="s">
        <v>554</v>
      </c>
      <c r="B379" s="19">
        <v>840</v>
      </c>
      <c r="C379" s="43">
        <v>12.08939</v>
      </c>
      <c r="D379" s="43">
        <v>0</v>
      </c>
      <c r="E379" s="19">
        <v>0</v>
      </c>
      <c r="F379" s="19">
        <v>294</v>
      </c>
      <c r="G379" s="44">
        <v>0</v>
      </c>
      <c r="H379" s="45" t="s">
        <v>176</v>
      </c>
      <c r="I379" s="19">
        <v>10</v>
      </c>
    </row>
    <row r="380" spans="1:9" x14ac:dyDescent="0.3">
      <c r="A380" s="19" t="s">
        <v>555</v>
      </c>
      <c r="B380" s="19">
        <v>1051</v>
      </c>
      <c r="C380" s="43">
        <v>17.569739999999999</v>
      </c>
      <c r="D380" s="43">
        <v>52.328571429999997</v>
      </c>
      <c r="E380" s="19">
        <v>7</v>
      </c>
      <c r="F380" s="19">
        <v>425</v>
      </c>
      <c r="G380" s="44">
        <v>0.21424193280000001</v>
      </c>
      <c r="H380" s="46" t="s">
        <v>182</v>
      </c>
      <c r="I380" s="19">
        <v>5</v>
      </c>
    </row>
    <row r="381" spans="1:9" x14ac:dyDescent="0.3">
      <c r="A381" s="19" t="s">
        <v>556</v>
      </c>
      <c r="B381" s="19">
        <v>864</v>
      </c>
      <c r="C381" s="43">
        <v>16.544589999999999</v>
      </c>
      <c r="D381" s="43">
        <v>66.822962959999998</v>
      </c>
      <c r="E381" s="19">
        <v>135</v>
      </c>
      <c r="F381" s="19">
        <v>304</v>
      </c>
      <c r="G381" s="44">
        <v>0.30241160719999999</v>
      </c>
      <c r="H381" s="45" t="s">
        <v>176</v>
      </c>
      <c r="I381" s="19">
        <v>5</v>
      </c>
    </row>
    <row r="382" spans="1:9" x14ac:dyDescent="0.3">
      <c r="A382" s="19" t="s">
        <v>557</v>
      </c>
      <c r="B382" s="19">
        <v>1150</v>
      </c>
      <c r="C382" s="43">
        <v>8.4851100000000006</v>
      </c>
      <c r="D382" s="43">
        <v>89.837999999999994</v>
      </c>
      <c r="E382" s="19">
        <v>20</v>
      </c>
      <c r="F382" s="19">
        <v>333</v>
      </c>
      <c r="G382" s="44">
        <v>0.45555099180000003</v>
      </c>
      <c r="H382" s="45" t="s">
        <v>176</v>
      </c>
      <c r="I382" s="19">
        <v>5</v>
      </c>
    </row>
    <row r="383" spans="1:9" x14ac:dyDescent="0.3">
      <c r="A383" s="19" t="s">
        <v>558</v>
      </c>
      <c r="B383" s="19">
        <v>720</v>
      </c>
      <c r="C383" s="43">
        <v>10.895652</v>
      </c>
      <c r="D383" s="43">
        <v>59.88019293</v>
      </c>
      <c r="E383" s="19">
        <v>311</v>
      </c>
      <c r="F383" s="19">
        <v>73</v>
      </c>
      <c r="G383" s="44">
        <v>0.36804247000000001</v>
      </c>
      <c r="H383" s="45" t="s">
        <v>176</v>
      </c>
      <c r="I383" s="19">
        <v>10</v>
      </c>
    </row>
    <row r="384" spans="1:9" x14ac:dyDescent="0.3">
      <c r="A384" s="19" t="s">
        <v>559</v>
      </c>
      <c r="B384" s="19">
        <v>2155</v>
      </c>
      <c r="C384" s="43">
        <v>15.03619</v>
      </c>
      <c r="D384" s="43">
        <v>89</v>
      </c>
      <c r="E384" s="19">
        <v>3</v>
      </c>
      <c r="F384" s="19">
        <v>416</v>
      </c>
      <c r="G384" s="44">
        <v>0.3810540449</v>
      </c>
      <c r="H384" s="46" t="s">
        <v>182</v>
      </c>
      <c r="I384" s="19">
        <v>10</v>
      </c>
    </row>
    <row r="385" spans="1:9" x14ac:dyDescent="0.3">
      <c r="A385" s="19" t="s">
        <v>560</v>
      </c>
      <c r="B385" s="19">
        <v>751</v>
      </c>
      <c r="C385" s="43">
        <v>15.407590000000001</v>
      </c>
      <c r="D385" s="43">
        <v>53.235216180000002</v>
      </c>
      <c r="E385" s="19">
        <v>1434</v>
      </c>
      <c r="F385" s="19">
        <v>25</v>
      </c>
      <c r="G385" s="44">
        <v>0.26057523370000002</v>
      </c>
      <c r="H385" s="45" t="s">
        <v>176</v>
      </c>
      <c r="I385" s="19">
        <v>10</v>
      </c>
    </row>
    <row r="386" spans="1:9" x14ac:dyDescent="0.3">
      <c r="A386" s="19" t="s">
        <v>561</v>
      </c>
      <c r="B386" s="19">
        <v>896</v>
      </c>
      <c r="C386" s="43">
        <v>10.34872</v>
      </c>
      <c r="D386" s="43">
        <v>0</v>
      </c>
      <c r="E386" s="19">
        <v>0</v>
      </c>
      <c r="F386" s="19">
        <v>295</v>
      </c>
      <c r="G386" s="44">
        <v>0</v>
      </c>
      <c r="H386" s="45" t="s">
        <v>176</v>
      </c>
      <c r="I386" s="19">
        <v>10</v>
      </c>
    </row>
    <row r="387" spans="1:9" x14ac:dyDescent="0.3">
      <c r="A387" s="19" t="s">
        <v>562</v>
      </c>
      <c r="B387" s="19">
        <v>874</v>
      </c>
      <c r="C387" s="43">
        <v>17.95514</v>
      </c>
      <c r="D387" s="43">
        <v>57.612425369999997</v>
      </c>
      <c r="E387" s="19">
        <v>536</v>
      </c>
      <c r="F387" s="19">
        <v>65</v>
      </c>
      <c r="G387" s="44">
        <v>0.2383460489</v>
      </c>
      <c r="H387" s="45" t="s">
        <v>176</v>
      </c>
      <c r="I387" s="19">
        <v>5</v>
      </c>
    </row>
    <row r="388" spans="1:9" x14ac:dyDescent="0.3">
      <c r="A388" s="19" t="s">
        <v>563</v>
      </c>
      <c r="B388" s="19">
        <v>983</v>
      </c>
      <c r="C388" s="43">
        <v>9.2076899999999995</v>
      </c>
      <c r="D388" s="43">
        <v>56.029237670000001</v>
      </c>
      <c r="E388" s="19">
        <v>223</v>
      </c>
      <c r="F388" s="19">
        <v>108</v>
      </c>
      <c r="G388" s="44">
        <v>0.38566276500000002</v>
      </c>
      <c r="H388" s="45" t="s">
        <v>176</v>
      </c>
      <c r="I388" s="19">
        <v>5</v>
      </c>
    </row>
    <row r="389" spans="1:9" x14ac:dyDescent="0.3">
      <c r="A389" s="19" t="s">
        <v>564</v>
      </c>
      <c r="B389" s="19">
        <v>1115</v>
      </c>
      <c r="C389" s="43">
        <v>5.952007</v>
      </c>
      <c r="D389" s="43">
        <v>86.505517240000003</v>
      </c>
      <c r="E389" s="19">
        <v>29</v>
      </c>
      <c r="F389" s="19">
        <v>249</v>
      </c>
      <c r="G389" s="44">
        <v>0.48119505909999999</v>
      </c>
      <c r="H389" s="45" t="s">
        <v>176</v>
      </c>
      <c r="I389" s="19">
        <v>10</v>
      </c>
    </row>
    <row r="390" spans="1:9" x14ac:dyDescent="0.3">
      <c r="A390" s="19" t="s">
        <v>565</v>
      </c>
      <c r="B390" s="19">
        <v>878</v>
      </c>
      <c r="C390" s="43">
        <v>6.1016170000000001</v>
      </c>
      <c r="D390" s="43">
        <v>30.934164039999999</v>
      </c>
      <c r="E390" s="19">
        <v>317</v>
      </c>
      <c r="F390" s="19">
        <v>132</v>
      </c>
      <c r="G390" s="44">
        <v>0.35275474740000001</v>
      </c>
      <c r="H390" s="45" t="s">
        <v>176</v>
      </c>
      <c r="I390" s="19">
        <v>10</v>
      </c>
    </row>
    <row r="391" spans="1:9" x14ac:dyDescent="0.3">
      <c r="A391" s="19" t="s">
        <v>566</v>
      </c>
      <c r="B391" s="19">
        <v>1166</v>
      </c>
      <c r="C391" s="43">
        <v>3.7449400000000002</v>
      </c>
      <c r="D391" s="43">
        <v>21.985263159999999</v>
      </c>
      <c r="E391" s="19">
        <v>114</v>
      </c>
      <c r="F391" s="19">
        <v>263</v>
      </c>
      <c r="G391" s="44">
        <v>0.37966135210000002</v>
      </c>
      <c r="H391" s="45" t="s">
        <v>176</v>
      </c>
      <c r="I391" s="19">
        <v>5</v>
      </c>
    </row>
    <row r="392" spans="1:9" x14ac:dyDescent="0.3">
      <c r="A392" s="19" t="s">
        <v>567</v>
      </c>
      <c r="B392" s="19">
        <v>1096</v>
      </c>
      <c r="C392" s="43">
        <v>10.769119999999999</v>
      </c>
      <c r="D392" s="43">
        <v>49.5</v>
      </c>
      <c r="E392" s="19">
        <v>4</v>
      </c>
      <c r="F392" s="19">
        <v>429</v>
      </c>
      <c r="G392" s="44">
        <v>0.33244202020000002</v>
      </c>
      <c r="H392" s="46" t="s">
        <v>182</v>
      </c>
      <c r="I392" s="19">
        <v>10</v>
      </c>
    </row>
    <row r="393" spans="1:9" x14ac:dyDescent="0.3">
      <c r="A393" s="19" t="s">
        <v>568</v>
      </c>
      <c r="B393" s="19">
        <v>2122</v>
      </c>
      <c r="C393" s="43">
        <v>7.7625400000000004</v>
      </c>
      <c r="D393" s="43">
        <v>60.903333330000002</v>
      </c>
      <c r="E393" s="19">
        <v>30</v>
      </c>
      <c r="F393" s="19">
        <v>268</v>
      </c>
      <c r="G393" s="44">
        <v>0.42254326530000003</v>
      </c>
      <c r="H393" s="45" t="s">
        <v>176</v>
      </c>
      <c r="I393" s="19">
        <v>10</v>
      </c>
    </row>
    <row r="394" spans="1:9" x14ac:dyDescent="0.3">
      <c r="A394" s="19" t="s">
        <v>569</v>
      </c>
      <c r="B394" s="19">
        <v>1103</v>
      </c>
      <c r="C394" s="43">
        <v>7.7625400000000004</v>
      </c>
      <c r="D394" s="43">
        <v>41.65</v>
      </c>
      <c r="E394" s="19">
        <v>70</v>
      </c>
      <c r="F394" s="19">
        <v>257</v>
      </c>
      <c r="G394" s="44">
        <v>0.36362448980000001</v>
      </c>
      <c r="H394" s="45" t="s">
        <v>176</v>
      </c>
      <c r="I394" s="19">
        <v>5</v>
      </c>
    </row>
    <row r="395" spans="1:9" x14ac:dyDescent="0.3">
      <c r="A395" s="19" t="s">
        <v>570</v>
      </c>
      <c r="B395" s="19">
        <v>1052</v>
      </c>
      <c r="C395" s="43">
        <v>21.497389999999999</v>
      </c>
      <c r="D395" s="43">
        <v>109.4333333</v>
      </c>
      <c r="E395" s="19">
        <v>12</v>
      </c>
      <c r="F395" s="19">
        <v>360</v>
      </c>
      <c r="G395" s="44">
        <v>0.3535572038</v>
      </c>
      <c r="H395" s="45" t="s">
        <v>176</v>
      </c>
      <c r="I395" s="19">
        <v>5</v>
      </c>
    </row>
    <row r="396" spans="1:9" x14ac:dyDescent="0.3">
      <c r="A396" s="19" t="s">
        <v>571</v>
      </c>
      <c r="B396" s="19">
        <v>911</v>
      </c>
      <c r="C396" s="43">
        <v>9.0791260000000005</v>
      </c>
      <c r="D396" s="43">
        <v>55.224859809999998</v>
      </c>
      <c r="E396" s="19">
        <v>214</v>
      </c>
      <c r="F396" s="19">
        <v>113</v>
      </c>
      <c r="G396" s="44">
        <v>0.38559712000000002</v>
      </c>
      <c r="H396" s="45" t="s">
        <v>176</v>
      </c>
      <c r="I396" s="19">
        <v>10</v>
      </c>
    </row>
    <row r="397" spans="1:9" x14ac:dyDescent="0.3">
      <c r="A397" s="19" t="s">
        <v>572</v>
      </c>
      <c r="B397" s="19">
        <v>974</v>
      </c>
      <c r="C397" s="43">
        <v>17.56559</v>
      </c>
      <c r="D397" s="43">
        <v>88.5</v>
      </c>
      <c r="E397" s="19">
        <v>2</v>
      </c>
      <c r="F397" s="19">
        <v>432</v>
      </c>
      <c r="G397" s="44">
        <v>0.35151875710000002</v>
      </c>
      <c r="H397" s="46" t="s">
        <v>182</v>
      </c>
      <c r="I397" s="19">
        <v>10</v>
      </c>
    </row>
    <row r="398" spans="1:9" x14ac:dyDescent="0.3">
      <c r="A398" s="19" t="s">
        <v>573</v>
      </c>
      <c r="B398" s="19">
        <v>975</v>
      </c>
      <c r="C398" s="43">
        <v>8.3360900000000004</v>
      </c>
      <c r="D398" s="43">
        <v>30.57627119</v>
      </c>
      <c r="E398" s="19">
        <v>59</v>
      </c>
      <c r="F398" s="19">
        <v>279</v>
      </c>
      <c r="G398" s="44">
        <v>0.27736734480000003</v>
      </c>
      <c r="H398" s="45" t="s">
        <v>176</v>
      </c>
      <c r="I398" s="19">
        <v>10</v>
      </c>
    </row>
    <row r="399" spans="1:9" x14ac:dyDescent="0.3">
      <c r="A399" s="19" t="s">
        <v>574</v>
      </c>
      <c r="B399" s="19">
        <v>721</v>
      </c>
      <c r="C399" s="43">
        <v>4.4213899999999997</v>
      </c>
      <c r="D399" s="43">
        <v>31.372034630000002</v>
      </c>
      <c r="E399" s="19">
        <v>462</v>
      </c>
      <c r="F399" s="19">
        <v>82</v>
      </c>
      <c r="G399" s="44">
        <v>0.40906588300000002</v>
      </c>
      <c r="H399" s="45" t="s">
        <v>176</v>
      </c>
      <c r="I399" s="19">
        <v>10</v>
      </c>
    </row>
    <row r="400" spans="1:9" x14ac:dyDescent="0.3">
      <c r="A400" s="19" t="s">
        <v>575</v>
      </c>
      <c r="B400" s="19">
        <v>1155</v>
      </c>
      <c r="C400" s="43">
        <v>4.0755242000000003</v>
      </c>
      <c r="D400" s="43">
        <v>0</v>
      </c>
      <c r="E400" s="19">
        <v>0</v>
      </c>
      <c r="F400" s="19">
        <v>478</v>
      </c>
      <c r="G400" s="44">
        <v>0</v>
      </c>
      <c r="H400" s="46" t="s">
        <v>182</v>
      </c>
      <c r="I400" s="19">
        <v>10</v>
      </c>
    </row>
    <row r="401" spans="1:9" x14ac:dyDescent="0.3">
      <c r="A401" s="19" t="s">
        <v>576</v>
      </c>
      <c r="B401" s="19">
        <v>1151</v>
      </c>
      <c r="C401" s="43">
        <v>12.380890000000001</v>
      </c>
      <c r="D401" s="43">
        <v>36.964705879999997</v>
      </c>
      <c r="E401" s="19">
        <v>17</v>
      </c>
      <c r="F401" s="19">
        <v>407</v>
      </c>
      <c r="G401" s="44">
        <v>0.21506185550000001</v>
      </c>
      <c r="H401" s="45" t="s">
        <v>176</v>
      </c>
      <c r="I401" s="19">
        <v>10</v>
      </c>
    </row>
    <row r="402" spans="1:9" x14ac:dyDescent="0.3">
      <c r="A402" s="19" t="s">
        <v>577</v>
      </c>
      <c r="B402" s="19">
        <v>752</v>
      </c>
      <c r="C402" s="43">
        <v>4.0997009999999996</v>
      </c>
      <c r="D402" s="43">
        <v>25.968104369999999</v>
      </c>
      <c r="E402" s="19">
        <v>12571</v>
      </c>
      <c r="F402" s="19">
        <v>3</v>
      </c>
      <c r="G402" s="44">
        <v>0.39212551899999998</v>
      </c>
      <c r="H402" s="45" t="s">
        <v>176</v>
      </c>
      <c r="I402" s="19">
        <v>10</v>
      </c>
    </row>
    <row r="403" spans="1:9" x14ac:dyDescent="0.3">
      <c r="A403" s="19" t="s">
        <v>578</v>
      </c>
      <c r="B403" s="19">
        <v>1186</v>
      </c>
      <c r="C403" s="43">
        <v>15.649039999999999</v>
      </c>
      <c r="D403" s="43">
        <v>128.3347674</v>
      </c>
      <c r="E403" s="19">
        <v>344</v>
      </c>
      <c r="F403" s="19">
        <v>27</v>
      </c>
      <c r="G403" s="44">
        <v>0.42806079120000001</v>
      </c>
      <c r="H403" s="45" t="s">
        <v>176</v>
      </c>
      <c r="I403" s="19">
        <v>50</v>
      </c>
    </row>
    <row r="404" spans="1:9" x14ac:dyDescent="0.3">
      <c r="A404" s="19" t="s">
        <v>579</v>
      </c>
      <c r="B404" s="19">
        <v>857</v>
      </c>
      <c r="C404" s="43">
        <v>6.9502980000000001</v>
      </c>
      <c r="D404" s="43">
        <v>30.62401899</v>
      </c>
      <c r="E404" s="19">
        <v>316</v>
      </c>
      <c r="F404" s="19">
        <v>143</v>
      </c>
      <c r="G404" s="44">
        <v>0.32304422379999997</v>
      </c>
      <c r="H404" s="45" t="s">
        <v>176</v>
      </c>
      <c r="I404" s="19">
        <v>10</v>
      </c>
    </row>
    <row r="405" spans="1:9" x14ac:dyDescent="0.3">
      <c r="A405" s="19" t="s">
        <v>580</v>
      </c>
      <c r="B405" s="19">
        <v>1914</v>
      </c>
      <c r="C405" s="43">
        <v>11.269590000000001</v>
      </c>
      <c r="D405" s="43">
        <v>0</v>
      </c>
      <c r="E405" s="19">
        <v>0</v>
      </c>
      <c r="F405" s="19">
        <v>485</v>
      </c>
      <c r="G405" s="44">
        <v>0</v>
      </c>
      <c r="H405" s="46" t="s">
        <v>182</v>
      </c>
      <c r="I405" s="19">
        <v>5</v>
      </c>
    </row>
    <row r="406" spans="1:9" x14ac:dyDescent="0.3">
      <c r="A406" s="19" t="s">
        <v>581</v>
      </c>
      <c r="B406" s="19">
        <v>748</v>
      </c>
      <c r="C406" s="43">
        <v>13.449680000000001</v>
      </c>
      <c r="D406" s="43">
        <v>0</v>
      </c>
      <c r="E406" s="19">
        <v>0</v>
      </c>
      <c r="F406" s="19">
        <v>224</v>
      </c>
      <c r="G406" s="44">
        <v>0</v>
      </c>
      <c r="H406" s="45" t="s">
        <v>176</v>
      </c>
      <c r="I406" s="19">
        <v>10</v>
      </c>
    </row>
    <row r="407" spans="1:9" x14ac:dyDescent="0.3">
      <c r="A407" s="19" t="s">
        <v>582</v>
      </c>
      <c r="B407" s="19">
        <v>736</v>
      </c>
      <c r="C407" s="43">
        <v>11.38959</v>
      </c>
      <c r="D407" s="43">
        <v>62.379900990000003</v>
      </c>
      <c r="E407" s="19">
        <v>101</v>
      </c>
      <c r="F407" s="19">
        <v>162</v>
      </c>
      <c r="G407" s="44">
        <v>0.36741570890000003</v>
      </c>
      <c r="H407" s="45" t="s">
        <v>176</v>
      </c>
      <c r="I407" s="19">
        <v>10</v>
      </c>
    </row>
    <row r="408" spans="1:9" x14ac:dyDescent="0.3">
      <c r="A408" s="19" t="s">
        <v>583</v>
      </c>
      <c r="B408" s="19">
        <v>1056</v>
      </c>
      <c r="C408" s="43">
        <v>15.040089999999999</v>
      </c>
      <c r="D408" s="43">
        <v>86.073846149999994</v>
      </c>
      <c r="E408" s="19">
        <v>65</v>
      </c>
      <c r="F408" s="19">
        <v>235</v>
      </c>
      <c r="G408" s="44">
        <v>0.37526527310000002</v>
      </c>
      <c r="H408" s="45" t="s">
        <v>176</v>
      </c>
      <c r="I408" s="19">
        <v>5</v>
      </c>
    </row>
    <row r="409" spans="1:9" x14ac:dyDescent="0.3">
      <c r="A409" s="19" t="s">
        <v>584</v>
      </c>
      <c r="B409" s="19">
        <v>851</v>
      </c>
      <c r="C409" s="43">
        <v>6.8135019999999997</v>
      </c>
      <c r="D409" s="43">
        <v>50</v>
      </c>
      <c r="E409" s="19">
        <v>21</v>
      </c>
      <c r="F409" s="19">
        <v>211</v>
      </c>
      <c r="G409" s="44">
        <v>0.41372996000000001</v>
      </c>
      <c r="H409" s="45" t="s">
        <v>176</v>
      </c>
      <c r="I409" s="19">
        <v>5</v>
      </c>
    </row>
    <row r="410" spans="1:9" x14ac:dyDescent="0.3">
      <c r="A410" s="19" t="s">
        <v>585</v>
      </c>
      <c r="B410" s="19">
        <v>1087</v>
      </c>
      <c r="C410" s="43">
        <v>21.040690000000001</v>
      </c>
      <c r="D410" s="43">
        <v>62.933333330000004</v>
      </c>
      <c r="E410" s="19">
        <v>84</v>
      </c>
      <c r="F410" s="19">
        <v>251</v>
      </c>
      <c r="G410" s="44">
        <v>0.2156670021</v>
      </c>
      <c r="H410" s="45" t="s">
        <v>176</v>
      </c>
      <c r="I410" s="19">
        <v>5</v>
      </c>
    </row>
    <row r="411" spans="1:9" x14ac:dyDescent="0.3">
      <c r="A411" s="19" t="s">
        <v>586</v>
      </c>
      <c r="B411" s="19">
        <v>815</v>
      </c>
      <c r="C411" s="43">
        <v>16.349589999999999</v>
      </c>
      <c r="D411" s="43">
        <v>52.718646079999999</v>
      </c>
      <c r="E411" s="19">
        <v>421</v>
      </c>
      <c r="F411" s="19">
        <v>94</v>
      </c>
      <c r="G411" s="44">
        <v>0.23987082909999999</v>
      </c>
      <c r="H411" s="45" t="s">
        <v>176</v>
      </c>
      <c r="I411" s="19">
        <v>10</v>
      </c>
    </row>
    <row r="412" spans="1:9" x14ac:dyDescent="0.3">
      <c r="A412" s="19" t="s">
        <v>587</v>
      </c>
      <c r="B412" s="19">
        <v>1156</v>
      </c>
      <c r="C412" s="43">
        <v>2.44719796</v>
      </c>
      <c r="D412" s="43">
        <v>0</v>
      </c>
      <c r="E412" s="19">
        <v>0</v>
      </c>
      <c r="F412" s="19">
        <v>479</v>
      </c>
      <c r="G412" s="44">
        <v>0</v>
      </c>
      <c r="H412" s="46" t="s">
        <v>182</v>
      </c>
      <c r="I412" s="19">
        <v>10</v>
      </c>
    </row>
    <row r="413" spans="1:9" x14ac:dyDescent="0.3">
      <c r="A413" s="19" t="s">
        <v>588</v>
      </c>
      <c r="B413" s="19">
        <v>891</v>
      </c>
      <c r="C413" s="43">
        <v>4.9689480000000001</v>
      </c>
      <c r="D413" s="43">
        <v>34.564458330000001</v>
      </c>
      <c r="E413" s="19">
        <v>240</v>
      </c>
      <c r="F413" s="19">
        <v>134</v>
      </c>
      <c r="G413" s="44">
        <v>0.40624111470000002</v>
      </c>
      <c r="H413" s="45" t="s">
        <v>176</v>
      </c>
      <c r="I413" s="19">
        <v>10</v>
      </c>
    </row>
    <row r="414" spans="1:9" x14ac:dyDescent="0.3">
      <c r="A414" s="19" t="s">
        <v>589</v>
      </c>
      <c r="B414" s="19">
        <v>757</v>
      </c>
      <c r="C414" s="43">
        <v>3.09152</v>
      </c>
      <c r="D414" s="43">
        <v>18.060675679999999</v>
      </c>
      <c r="E414" s="19">
        <v>740</v>
      </c>
      <c r="F414" s="19">
        <v>99</v>
      </c>
      <c r="G414" s="44">
        <v>0.3788258947</v>
      </c>
      <c r="H414" s="45" t="s">
        <v>176</v>
      </c>
      <c r="I414" s="19">
        <v>10</v>
      </c>
    </row>
    <row r="415" spans="1:9" x14ac:dyDescent="0.3">
      <c r="A415" s="19" t="s">
        <v>590</v>
      </c>
      <c r="B415" s="19">
        <v>722</v>
      </c>
      <c r="C415" s="43">
        <v>2.4685359999999998</v>
      </c>
      <c r="D415" s="43">
        <v>12.629243170000001</v>
      </c>
      <c r="E415" s="19">
        <v>7505</v>
      </c>
      <c r="F415" s="19">
        <v>13</v>
      </c>
      <c r="G415" s="44">
        <v>0.35453808939999998</v>
      </c>
      <c r="H415" s="45" t="s">
        <v>176</v>
      </c>
      <c r="I415" s="19">
        <v>10</v>
      </c>
    </row>
    <row r="416" spans="1:9" x14ac:dyDescent="0.3">
      <c r="A416" s="19" t="s">
        <v>591</v>
      </c>
      <c r="B416" s="19">
        <v>946</v>
      </c>
      <c r="C416" s="43">
        <v>7.6443199999999996</v>
      </c>
      <c r="D416" s="43">
        <v>54.113042069999999</v>
      </c>
      <c r="E416" s="19">
        <v>309</v>
      </c>
      <c r="F416" s="19">
        <v>77</v>
      </c>
      <c r="G416" s="44">
        <v>0.4087342403</v>
      </c>
      <c r="H416" s="45" t="s">
        <v>176</v>
      </c>
      <c r="I416" s="19">
        <v>50</v>
      </c>
    </row>
    <row r="417" spans="1:9" x14ac:dyDescent="0.3">
      <c r="A417" s="19" t="s">
        <v>592</v>
      </c>
      <c r="B417" s="19">
        <v>758</v>
      </c>
      <c r="C417" s="43">
        <v>2.4065300000000001</v>
      </c>
      <c r="D417" s="43">
        <v>19.5926276</v>
      </c>
      <c r="E417" s="19">
        <v>529</v>
      </c>
      <c r="F417" s="19">
        <v>115</v>
      </c>
      <c r="G417" s="44">
        <v>0.42717165610000002</v>
      </c>
      <c r="H417" s="45" t="s">
        <v>176</v>
      </c>
      <c r="I417" s="19">
        <v>10</v>
      </c>
    </row>
    <row r="418" spans="1:9" x14ac:dyDescent="0.3">
      <c r="A418" s="19" t="s">
        <v>593</v>
      </c>
      <c r="B418" s="19">
        <v>723</v>
      </c>
      <c r="C418" s="43">
        <v>2.6542379999999999</v>
      </c>
      <c r="D418" s="43">
        <v>20.692101340000001</v>
      </c>
      <c r="E418" s="19">
        <v>671</v>
      </c>
      <c r="F418" s="19">
        <v>84</v>
      </c>
      <c r="G418" s="44">
        <v>0.42172699590000001</v>
      </c>
      <c r="H418" s="45" t="s">
        <v>176</v>
      </c>
      <c r="I418" s="19">
        <v>10</v>
      </c>
    </row>
    <row r="419" spans="1:9" x14ac:dyDescent="0.3">
      <c r="A419" s="19" t="s">
        <v>594</v>
      </c>
      <c r="B419" s="19">
        <v>912</v>
      </c>
      <c r="C419" s="43">
        <v>2.76729</v>
      </c>
      <c r="D419" s="43">
        <v>0</v>
      </c>
      <c r="E419" s="19">
        <v>0</v>
      </c>
      <c r="F419" s="19">
        <v>480</v>
      </c>
      <c r="G419" s="44">
        <v>0</v>
      </c>
      <c r="H419" s="46" t="s">
        <v>182</v>
      </c>
      <c r="I419" s="19">
        <v>10</v>
      </c>
    </row>
    <row r="420" spans="1:9" x14ac:dyDescent="0.3">
      <c r="A420" s="19" t="s">
        <v>595</v>
      </c>
      <c r="B420" s="19">
        <v>889</v>
      </c>
      <c r="C420" s="43">
        <v>8.4162859999999995</v>
      </c>
      <c r="D420" s="43">
        <v>50.864285709999997</v>
      </c>
      <c r="E420" s="19">
        <v>63</v>
      </c>
      <c r="F420" s="19">
        <v>247</v>
      </c>
      <c r="G420" s="44">
        <v>0.38453446990000001</v>
      </c>
      <c r="H420" s="45" t="s">
        <v>176</v>
      </c>
      <c r="I420" s="19">
        <v>10</v>
      </c>
    </row>
    <row r="421" spans="1:9" x14ac:dyDescent="0.3">
      <c r="A421" s="19" t="s">
        <v>596</v>
      </c>
      <c r="B421" s="19">
        <v>1157</v>
      </c>
      <c r="C421" s="43">
        <v>9.4628300000000003</v>
      </c>
      <c r="D421" s="43">
        <v>0</v>
      </c>
      <c r="E421" s="19">
        <v>0</v>
      </c>
      <c r="F421" s="19">
        <v>481</v>
      </c>
      <c r="G421" s="44">
        <v>0</v>
      </c>
      <c r="H421" s="46" t="s">
        <v>182</v>
      </c>
      <c r="I421" s="19">
        <v>10</v>
      </c>
    </row>
    <row r="422" spans="1:9" x14ac:dyDescent="0.3">
      <c r="A422" s="19" t="s">
        <v>597</v>
      </c>
      <c r="B422" s="19">
        <v>1058</v>
      </c>
      <c r="C422" s="43">
        <v>8.7049400000000006</v>
      </c>
      <c r="D422" s="43">
        <v>79</v>
      </c>
      <c r="E422" s="19">
        <v>5</v>
      </c>
      <c r="F422" s="19">
        <v>398</v>
      </c>
      <c r="G422" s="44">
        <v>0.43981088610000002</v>
      </c>
      <c r="H422" s="45" t="s">
        <v>176</v>
      </c>
      <c r="I422" s="19">
        <v>10</v>
      </c>
    </row>
    <row r="423" spans="1:9" x14ac:dyDescent="0.3">
      <c r="A423" s="19" t="s">
        <v>598</v>
      </c>
      <c r="B423" s="19">
        <v>1072</v>
      </c>
      <c r="C423" s="43">
        <v>8.7049400000000006</v>
      </c>
      <c r="D423" s="43">
        <v>0</v>
      </c>
      <c r="E423" s="19">
        <v>0</v>
      </c>
      <c r="F423" s="19">
        <v>491</v>
      </c>
      <c r="G423" s="44">
        <v>0</v>
      </c>
      <c r="H423" s="46" t="s">
        <v>182</v>
      </c>
      <c r="I423" s="19">
        <v>10</v>
      </c>
    </row>
    <row r="424" spans="1:9" x14ac:dyDescent="0.3">
      <c r="A424" s="19" t="s">
        <v>599</v>
      </c>
      <c r="B424" s="19">
        <v>913</v>
      </c>
      <c r="C424" s="43">
        <v>9.6695899999999995</v>
      </c>
      <c r="D424" s="43">
        <v>0</v>
      </c>
      <c r="E424" s="19">
        <v>0</v>
      </c>
      <c r="F424" s="19">
        <v>296</v>
      </c>
      <c r="G424" s="44">
        <v>0</v>
      </c>
      <c r="H424" s="45" t="s">
        <v>176</v>
      </c>
      <c r="I424" s="19">
        <v>10</v>
      </c>
    </row>
    <row r="425" spans="1:9" x14ac:dyDescent="0.3">
      <c r="A425" s="19" t="s">
        <v>600</v>
      </c>
      <c r="B425" s="19">
        <v>764</v>
      </c>
      <c r="C425" s="43">
        <v>9.4628300000000003</v>
      </c>
      <c r="D425" s="43">
        <v>38.754807790000001</v>
      </c>
      <c r="E425" s="19">
        <v>10171</v>
      </c>
      <c r="F425" s="19">
        <v>2</v>
      </c>
      <c r="G425" s="44">
        <v>0.3058282303</v>
      </c>
      <c r="H425" s="45" t="s">
        <v>176</v>
      </c>
      <c r="I425" s="19">
        <v>10</v>
      </c>
    </row>
    <row r="426" spans="1:9" x14ac:dyDescent="0.3">
      <c r="A426" s="19" t="s">
        <v>601</v>
      </c>
      <c r="B426" s="19">
        <v>1176</v>
      </c>
      <c r="C426" s="43">
        <v>42.615789999999997</v>
      </c>
      <c r="D426" s="43">
        <v>228.79424460000001</v>
      </c>
      <c r="E426" s="19">
        <v>278</v>
      </c>
      <c r="F426" s="19">
        <v>23</v>
      </c>
      <c r="G426" s="44">
        <v>0.36373749119999998</v>
      </c>
      <c r="H426" s="45" t="s">
        <v>176</v>
      </c>
      <c r="I426" s="19">
        <v>50</v>
      </c>
    </row>
    <row r="427" spans="1:9" x14ac:dyDescent="0.3">
      <c r="A427" s="19" t="s">
        <v>602</v>
      </c>
      <c r="B427" s="19">
        <v>765</v>
      </c>
      <c r="C427" s="43">
        <v>9.789282</v>
      </c>
      <c r="D427" s="43">
        <v>56.81558974</v>
      </c>
      <c r="E427" s="19">
        <v>2535</v>
      </c>
      <c r="F427" s="19">
        <v>5</v>
      </c>
      <c r="G427" s="44">
        <v>0.37770077639999999</v>
      </c>
      <c r="H427" s="45" t="s">
        <v>176</v>
      </c>
      <c r="I427" s="19">
        <v>10</v>
      </c>
    </row>
    <row r="428" spans="1:9" x14ac:dyDescent="0.3">
      <c r="A428" s="19" t="s">
        <v>603</v>
      </c>
      <c r="B428" s="19">
        <v>914</v>
      </c>
      <c r="C428" s="43">
        <v>10.048730000000001</v>
      </c>
      <c r="D428" s="43">
        <v>59.056986299999998</v>
      </c>
      <c r="E428" s="19">
        <v>73</v>
      </c>
      <c r="F428" s="19">
        <v>240</v>
      </c>
      <c r="G428" s="44">
        <v>0.3798468881</v>
      </c>
      <c r="H428" s="45" t="s">
        <v>176</v>
      </c>
      <c r="I428" s="19">
        <v>10</v>
      </c>
    </row>
    <row r="429" spans="1:9" x14ac:dyDescent="0.3">
      <c r="A429" s="19" t="s">
        <v>604</v>
      </c>
      <c r="B429" s="19">
        <v>724</v>
      </c>
      <c r="C429" s="43">
        <v>5.25685</v>
      </c>
      <c r="D429" s="43">
        <v>26.109210990000001</v>
      </c>
      <c r="E429" s="19">
        <v>1128</v>
      </c>
      <c r="F429" s="19">
        <v>43</v>
      </c>
      <c r="G429" s="44">
        <v>0.34865917810000002</v>
      </c>
      <c r="H429" s="45" t="s">
        <v>176</v>
      </c>
      <c r="I429" s="19">
        <v>10</v>
      </c>
    </row>
    <row r="430" spans="1:9" x14ac:dyDescent="0.3">
      <c r="A430" s="19" t="s">
        <v>605</v>
      </c>
      <c r="B430" s="19">
        <v>1089</v>
      </c>
      <c r="C430" s="43">
        <v>21.585889999999999</v>
      </c>
      <c r="D430" s="43">
        <v>120.8116071</v>
      </c>
      <c r="E430" s="19">
        <v>112</v>
      </c>
      <c r="F430" s="19">
        <v>102</v>
      </c>
      <c r="G430" s="44">
        <v>0.3713260256</v>
      </c>
      <c r="H430" s="45" t="s">
        <v>176</v>
      </c>
      <c r="I430" s="19">
        <v>50</v>
      </c>
    </row>
    <row r="431" spans="1:9" x14ac:dyDescent="0.3">
      <c r="A431" s="19" t="s">
        <v>606</v>
      </c>
      <c r="B431" s="19">
        <v>1121</v>
      </c>
      <c r="C431" s="43">
        <v>19.575610000000001</v>
      </c>
      <c r="D431" s="43">
        <v>80.294680850000006</v>
      </c>
      <c r="E431" s="19">
        <v>47</v>
      </c>
      <c r="F431" s="19">
        <v>322</v>
      </c>
      <c r="G431" s="44">
        <v>0.30620290420000001</v>
      </c>
      <c r="H431" s="45" t="s">
        <v>176</v>
      </c>
      <c r="I431" s="19">
        <v>10</v>
      </c>
    </row>
    <row r="432" spans="1:9" x14ac:dyDescent="0.3">
      <c r="A432" s="19" t="s">
        <v>607</v>
      </c>
      <c r="B432" s="19">
        <v>1241</v>
      </c>
      <c r="C432" s="43">
        <v>3.61768</v>
      </c>
      <c r="D432" s="43">
        <v>28.924528299999999</v>
      </c>
      <c r="E432" s="19">
        <v>106</v>
      </c>
      <c r="F432" s="19">
        <v>245</v>
      </c>
      <c r="G432" s="44">
        <v>0.42492691449999997</v>
      </c>
      <c r="H432" s="45" t="s">
        <v>176</v>
      </c>
      <c r="I432" s="19">
        <v>10</v>
      </c>
    </row>
    <row r="433" spans="1:9" x14ac:dyDescent="0.3">
      <c r="A433" s="19" t="s">
        <v>608</v>
      </c>
      <c r="B433" s="19">
        <v>924</v>
      </c>
      <c r="C433" s="43">
        <v>3.9920900000000001</v>
      </c>
      <c r="D433" s="43">
        <v>23.421206900000001</v>
      </c>
      <c r="E433" s="19">
        <v>116</v>
      </c>
      <c r="F433" s="19">
        <v>259</v>
      </c>
      <c r="G433" s="44">
        <v>0.37955233620000001</v>
      </c>
      <c r="H433" s="45" t="s">
        <v>176</v>
      </c>
      <c r="I433" s="19">
        <v>10</v>
      </c>
    </row>
    <row r="434" spans="1:9" x14ac:dyDescent="0.3">
      <c r="A434" s="19" t="s">
        <v>609</v>
      </c>
      <c r="B434" s="19">
        <v>1148</v>
      </c>
      <c r="C434" s="43">
        <v>4.2955304999999999</v>
      </c>
      <c r="D434" s="43">
        <v>20.55655303</v>
      </c>
      <c r="E434" s="19">
        <v>528</v>
      </c>
      <c r="F434" s="19">
        <v>126</v>
      </c>
      <c r="G434" s="44">
        <v>0.34103838600000003</v>
      </c>
      <c r="H434" s="45" t="s">
        <v>176</v>
      </c>
      <c r="I434" s="19">
        <v>10</v>
      </c>
    </row>
    <row r="435" spans="1:9" x14ac:dyDescent="0.3">
      <c r="A435" s="19" t="s">
        <v>610</v>
      </c>
      <c r="B435" s="19">
        <v>726</v>
      </c>
      <c r="C435" s="43">
        <v>2.56203</v>
      </c>
      <c r="D435" s="43">
        <v>26.30596834</v>
      </c>
      <c r="E435" s="19">
        <v>1074</v>
      </c>
      <c r="F435" s="19">
        <v>36</v>
      </c>
      <c r="G435" s="44">
        <v>0.4526065125</v>
      </c>
      <c r="H435" s="45" t="s">
        <v>176</v>
      </c>
      <c r="I435" s="19">
        <v>10</v>
      </c>
    </row>
    <row r="436" spans="1:9" x14ac:dyDescent="0.3">
      <c r="A436" s="19" t="s">
        <v>611</v>
      </c>
      <c r="B436" s="19">
        <v>725</v>
      </c>
      <c r="C436" s="43">
        <v>3.2142219999999999</v>
      </c>
      <c r="D436" s="43">
        <v>19.682855150000002</v>
      </c>
      <c r="E436" s="19">
        <v>3590</v>
      </c>
      <c r="F436" s="19">
        <v>20</v>
      </c>
      <c r="G436" s="44">
        <v>0.38669940289999999</v>
      </c>
      <c r="H436" s="45" t="s">
        <v>176</v>
      </c>
      <c r="I436" s="19">
        <v>10</v>
      </c>
    </row>
    <row r="437" spans="1:9" x14ac:dyDescent="0.3">
      <c r="A437" s="19" t="s">
        <v>612</v>
      </c>
      <c r="B437" s="19">
        <v>916</v>
      </c>
      <c r="C437" s="43">
        <v>11.77275</v>
      </c>
      <c r="D437" s="43">
        <v>84.312462690000004</v>
      </c>
      <c r="E437" s="19">
        <v>268</v>
      </c>
      <c r="F437" s="19">
        <v>53</v>
      </c>
      <c r="G437" s="44">
        <v>0.41036761799999999</v>
      </c>
      <c r="H437" s="45" t="s">
        <v>176</v>
      </c>
      <c r="I437" s="19">
        <v>50</v>
      </c>
    </row>
    <row r="438" spans="1:9" x14ac:dyDescent="0.3">
      <c r="A438" s="19" t="s">
        <v>613</v>
      </c>
      <c r="B438" s="19">
        <v>1116</v>
      </c>
      <c r="C438" s="43">
        <v>11.8676786</v>
      </c>
      <c r="D438" s="43">
        <v>61.89473684</v>
      </c>
      <c r="E438" s="19">
        <v>19</v>
      </c>
      <c r="F438" s="19">
        <v>362</v>
      </c>
      <c r="G438" s="44">
        <v>0.35826029469999998</v>
      </c>
      <c r="H438" s="45" t="s">
        <v>176</v>
      </c>
      <c r="I438" s="19">
        <v>10</v>
      </c>
    </row>
    <row r="439" spans="1:9" x14ac:dyDescent="0.3">
      <c r="A439" s="19" t="s">
        <v>614</v>
      </c>
      <c r="B439" s="19">
        <v>760</v>
      </c>
      <c r="C439" s="43">
        <v>2.4780669999999998</v>
      </c>
      <c r="D439" s="43">
        <v>25.049899400000001</v>
      </c>
      <c r="E439" s="19">
        <v>497</v>
      </c>
      <c r="F439" s="19">
        <v>87</v>
      </c>
      <c r="G439" s="44">
        <v>0.45107477239999999</v>
      </c>
      <c r="H439" s="45" t="s">
        <v>176</v>
      </c>
      <c r="I439" s="19">
        <v>10</v>
      </c>
    </row>
    <row r="440" spans="1:9" x14ac:dyDescent="0.3">
      <c r="A440" s="19" t="s">
        <v>615</v>
      </c>
      <c r="B440" s="19">
        <v>728</v>
      </c>
      <c r="C440" s="43">
        <v>11.391389999999999</v>
      </c>
      <c r="D440" s="43">
        <v>59.210416670000001</v>
      </c>
      <c r="E440" s="19">
        <v>408</v>
      </c>
      <c r="F440" s="19">
        <v>57</v>
      </c>
      <c r="G440" s="44">
        <v>0.35761172369999999</v>
      </c>
      <c r="H440" s="45" t="s">
        <v>176</v>
      </c>
      <c r="I440" s="19">
        <v>10</v>
      </c>
    </row>
    <row r="441" spans="1:9" x14ac:dyDescent="0.3">
      <c r="A441" s="19" t="s">
        <v>616</v>
      </c>
      <c r="B441" s="19">
        <v>2235</v>
      </c>
      <c r="C441" s="43">
        <v>3.0060899999999999</v>
      </c>
      <c r="D441" s="43">
        <v>0</v>
      </c>
      <c r="E441" s="19">
        <v>0</v>
      </c>
      <c r="F441" s="19" t="s">
        <v>181</v>
      </c>
      <c r="G441" s="44">
        <v>0</v>
      </c>
      <c r="H441" s="46" t="s">
        <v>182</v>
      </c>
      <c r="I441" s="19">
        <v>5</v>
      </c>
    </row>
    <row r="442" spans="1:9" x14ac:dyDescent="0.3">
      <c r="A442" s="19" t="s">
        <v>617</v>
      </c>
      <c r="B442" s="19">
        <v>729</v>
      </c>
      <c r="C442" s="43">
        <v>5.7074299999999996</v>
      </c>
      <c r="D442" s="43">
        <v>68.833333330000002</v>
      </c>
      <c r="E442" s="19">
        <v>36</v>
      </c>
      <c r="F442" s="19">
        <v>321</v>
      </c>
      <c r="G442" s="44">
        <v>0.46708334140000002</v>
      </c>
      <c r="H442" s="45" t="s">
        <v>176</v>
      </c>
      <c r="I442" s="19">
        <v>10</v>
      </c>
    </row>
    <row r="443" spans="1:9" x14ac:dyDescent="0.3">
      <c r="A443" s="19" t="s">
        <v>618</v>
      </c>
      <c r="B443" s="19">
        <v>1110</v>
      </c>
      <c r="C443" s="43">
        <v>4.0301499999999999</v>
      </c>
      <c r="D443" s="43">
        <v>30.18516129</v>
      </c>
      <c r="E443" s="19">
        <v>186</v>
      </c>
      <c r="F443" s="19">
        <v>160</v>
      </c>
      <c r="G443" s="44">
        <v>0.41648572249999999</v>
      </c>
      <c r="H443" s="45" t="s">
        <v>176</v>
      </c>
      <c r="I443" s="19">
        <v>10</v>
      </c>
    </row>
    <row r="444" spans="1:9" x14ac:dyDescent="0.3">
      <c r="A444" s="19" t="s">
        <v>619</v>
      </c>
      <c r="B444" s="19">
        <v>955</v>
      </c>
      <c r="C444" s="43">
        <v>7.10419</v>
      </c>
      <c r="D444" s="43">
        <v>0</v>
      </c>
      <c r="E444" s="19">
        <v>0</v>
      </c>
      <c r="F444" s="19">
        <v>297</v>
      </c>
      <c r="G444" s="44">
        <v>0</v>
      </c>
      <c r="H444" s="45" t="s">
        <v>176</v>
      </c>
      <c r="I444" s="19">
        <v>10</v>
      </c>
    </row>
    <row r="445" spans="1:9" x14ac:dyDescent="0.3">
      <c r="A445" s="19" t="s">
        <v>620</v>
      </c>
      <c r="B445" s="19">
        <v>730</v>
      </c>
      <c r="C445" s="43">
        <v>4.841342</v>
      </c>
      <c r="D445" s="43">
        <v>23.675384619999999</v>
      </c>
      <c r="E445" s="19">
        <v>260</v>
      </c>
      <c r="F445" s="19">
        <v>169</v>
      </c>
      <c r="G445" s="44">
        <v>0.34551157970000002</v>
      </c>
      <c r="H445" s="45" t="s">
        <v>176</v>
      </c>
      <c r="I445" s="19">
        <v>10</v>
      </c>
    </row>
    <row r="446" spans="1:9" x14ac:dyDescent="0.3">
      <c r="A446" s="19" t="s">
        <v>621</v>
      </c>
      <c r="B446" s="19">
        <v>1162</v>
      </c>
      <c r="C446" s="43">
        <v>5.1103300000000003</v>
      </c>
      <c r="D446" s="43">
        <v>28.65874286</v>
      </c>
      <c r="E446" s="19">
        <v>175</v>
      </c>
      <c r="F446" s="19">
        <v>185</v>
      </c>
      <c r="G446" s="44">
        <v>0.37168338560000003</v>
      </c>
      <c r="H446" s="45" t="s">
        <v>176</v>
      </c>
      <c r="I446" s="19">
        <v>10</v>
      </c>
    </row>
    <row r="447" spans="1:9" x14ac:dyDescent="0.3">
      <c r="A447" s="19" t="s">
        <v>622</v>
      </c>
      <c r="B447" s="19">
        <v>2185</v>
      </c>
      <c r="C447" s="43">
        <v>4.1711200000000002</v>
      </c>
      <c r="D447" s="43">
        <v>0</v>
      </c>
      <c r="E447" s="19">
        <v>0</v>
      </c>
      <c r="F447" s="19">
        <v>184</v>
      </c>
      <c r="G447" s="44">
        <v>0</v>
      </c>
      <c r="H447" s="45" t="s">
        <v>176</v>
      </c>
      <c r="I447" s="19">
        <v>5</v>
      </c>
    </row>
    <row r="448" spans="1:9" x14ac:dyDescent="0.3">
      <c r="A448" s="19" t="s">
        <v>623</v>
      </c>
      <c r="B448" s="19">
        <v>2108</v>
      </c>
      <c r="C448" s="43">
        <v>11.489604999999999</v>
      </c>
      <c r="D448" s="43">
        <v>42.524722220000001</v>
      </c>
      <c r="E448" s="19">
        <v>72</v>
      </c>
      <c r="F448" s="19">
        <v>264</v>
      </c>
      <c r="G448" s="44">
        <v>0.2798135202</v>
      </c>
      <c r="H448" s="45" t="s">
        <v>176</v>
      </c>
      <c r="I448" s="19">
        <v>5</v>
      </c>
    </row>
    <row r="449" spans="1:9" x14ac:dyDescent="0.3">
      <c r="A449" s="19" t="s">
        <v>624</v>
      </c>
      <c r="B449" s="19">
        <v>862</v>
      </c>
      <c r="C449" s="43">
        <v>7.5963649999999996</v>
      </c>
      <c r="D449" s="43">
        <v>39.994366200000002</v>
      </c>
      <c r="E449" s="19">
        <v>142</v>
      </c>
      <c r="F449" s="19">
        <v>178</v>
      </c>
      <c r="G449" s="44">
        <v>0.3600641235</v>
      </c>
      <c r="H449" s="45" t="s">
        <v>176</v>
      </c>
      <c r="I449" s="19">
        <v>5</v>
      </c>
    </row>
    <row r="450" spans="1:9" x14ac:dyDescent="0.3">
      <c r="A450" s="19" t="s">
        <v>625</v>
      </c>
      <c r="B450" s="19">
        <v>1915</v>
      </c>
      <c r="C450" s="43">
        <v>18.095189999999999</v>
      </c>
      <c r="D450" s="43">
        <v>120</v>
      </c>
      <c r="E450" s="19">
        <v>1</v>
      </c>
      <c r="F450" s="19">
        <v>439</v>
      </c>
      <c r="G450" s="44">
        <v>0.39920675</v>
      </c>
      <c r="H450" s="46" t="s">
        <v>182</v>
      </c>
      <c r="I450" s="19">
        <v>10</v>
      </c>
    </row>
    <row r="451" spans="1:9" x14ac:dyDescent="0.3">
      <c r="A451" s="19" t="s">
        <v>626</v>
      </c>
      <c r="B451" s="19">
        <v>923</v>
      </c>
      <c r="C451" s="43">
        <v>7.59748</v>
      </c>
      <c r="D451" s="43">
        <v>37.944244189999999</v>
      </c>
      <c r="E451" s="19">
        <v>344</v>
      </c>
      <c r="F451" s="19">
        <v>111</v>
      </c>
      <c r="G451" s="44">
        <v>0.3497725304</v>
      </c>
      <c r="H451" s="45" t="s">
        <v>176</v>
      </c>
      <c r="I451" s="19">
        <v>10</v>
      </c>
    </row>
    <row r="452" spans="1:9" x14ac:dyDescent="0.3">
      <c r="A452" s="19" t="s">
        <v>627</v>
      </c>
      <c r="B452" s="19">
        <v>813</v>
      </c>
      <c r="C452" s="43">
        <v>30.818989999999999</v>
      </c>
      <c r="D452" s="43">
        <v>97.960629920000002</v>
      </c>
      <c r="E452" s="19">
        <v>127</v>
      </c>
      <c r="F452" s="19">
        <v>150</v>
      </c>
      <c r="G452" s="44">
        <v>0.2353941219</v>
      </c>
      <c r="H452" s="45" t="s">
        <v>176</v>
      </c>
      <c r="I452" s="19">
        <v>5</v>
      </c>
    </row>
    <row r="453" spans="1:9" x14ac:dyDescent="0.3">
      <c r="A453" s="19" t="s">
        <v>628</v>
      </c>
      <c r="B453" s="19">
        <v>820</v>
      </c>
      <c r="C453" s="43">
        <v>17.260339999999999</v>
      </c>
      <c r="D453" s="43">
        <v>46.055629140000001</v>
      </c>
      <c r="E453" s="19">
        <v>151</v>
      </c>
      <c r="F453" s="19">
        <v>195</v>
      </c>
      <c r="G453" s="44">
        <v>0.1752284395</v>
      </c>
      <c r="H453" s="45" t="s">
        <v>176</v>
      </c>
      <c r="I453" s="19">
        <v>5</v>
      </c>
    </row>
    <row r="454" spans="1:9" x14ac:dyDescent="0.3">
      <c r="A454" s="19" t="s">
        <v>629</v>
      </c>
      <c r="B454" s="19">
        <v>1129</v>
      </c>
      <c r="C454" s="43">
        <v>20.285589999999999</v>
      </c>
      <c r="D454" s="43">
        <v>69.599999999999994</v>
      </c>
      <c r="E454" s="19">
        <v>22</v>
      </c>
      <c r="F454" s="19">
        <v>368</v>
      </c>
      <c r="G454" s="44">
        <v>0.25854037359999998</v>
      </c>
      <c r="H454" s="45" t="s">
        <v>176</v>
      </c>
      <c r="I454" s="19">
        <v>5</v>
      </c>
    </row>
    <row r="455" spans="1:9" x14ac:dyDescent="0.3">
      <c r="A455" s="19" t="s">
        <v>630</v>
      </c>
      <c r="B455" s="19">
        <v>1044</v>
      </c>
      <c r="C455" s="43">
        <v>31.88419</v>
      </c>
      <c r="D455" s="43">
        <v>131.41764710000001</v>
      </c>
      <c r="E455" s="19">
        <v>238</v>
      </c>
      <c r="F455" s="19">
        <v>48</v>
      </c>
      <c r="G455" s="44">
        <v>0.30738273579999997</v>
      </c>
      <c r="H455" s="45" t="s">
        <v>176</v>
      </c>
      <c r="I455" s="19">
        <v>5</v>
      </c>
    </row>
    <row r="456" spans="1:9" x14ac:dyDescent="0.3">
      <c r="A456" s="19" t="s">
        <v>631</v>
      </c>
      <c r="B456" s="19">
        <v>1239</v>
      </c>
      <c r="C456" s="43">
        <v>19.213889999999999</v>
      </c>
      <c r="D456" s="43">
        <v>87</v>
      </c>
      <c r="E456" s="19">
        <v>8</v>
      </c>
      <c r="F456" s="19">
        <v>390</v>
      </c>
      <c r="G456" s="44">
        <v>0.3291506897</v>
      </c>
      <c r="H456" s="45" t="s">
        <v>176</v>
      </c>
      <c r="I456" s="19">
        <v>5</v>
      </c>
    </row>
    <row r="457" spans="1:9" x14ac:dyDescent="0.3">
      <c r="A457" s="19" t="s">
        <v>632</v>
      </c>
      <c r="B457" s="19">
        <v>1372</v>
      </c>
      <c r="C457" s="43">
        <v>34.331130000000002</v>
      </c>
      <c r="D457" s="43">
        <v>142.04299209999999</v>
      </c>
      <c r="E457" s="19">
        <v>127</v>
      </c>
      <c r="F457" s="19">
        <v>89</v>
      </c>
      <c r="G457" s="44">
        <v>0.30830465489999997</v>
      </c>
      <c r="H457" s="45" t="s">
        <v>176</v>
      </c>
      <c r="I457" s="19">
        <v>10</v>
      </c>
    </row>
    <row r="458" spans="1:9" x14ac:dyDescent="0.3">
      <c r="A458" s="19" t="s">
        <v>633</v>
      </c>
      <c r="B458" s="19">
        <v>824</v>
      </c>
      <c r="C458" s="43">
        <v>11.248491</v>
      </c>
      <c r="D458" s="43">
        <v>45.074842109999999</v>
      </c>
      <c r="E458" s="19">
        <v>95</v>
      </c>
      <c r="F458" s="19">
        <v>191</v>
      </c>
      <c r="G458" s="44">
        <v>0.30044857679999998</v>
      </c>
      <c r="H458" s="45" t="s">
        <v>176</v>
      </c>
      <c r="I458" s="19">
        <v>10</v>
      </c>
    </row>
    <row r="459" spans="1:9" x14ac:dyDescent="0.3">
      <c r="A459" s="19" t="s">
        <v>634</v>
      </c>
      <c r="B459" s="19">
        <v>1168</v>
      </c>
      <c r="C459" s="43">
        <v>8.2808899999999994</v>
      </c>
      <c r="D459" s="43">
        <v>41.484000000000002</v>
      </c>
      <c r="E459" s="19">
        <v>55</v>
      </c>
      <c r="F459" s="19">
        <v>266</v>
      </c>
      <c r="G459" s="44">
        <v>0.35038352140000001</v>
      </c>
      <c r="H459" s="45" t="s">
        <v>176</v>
      </c>
      <c r="I459" s="19">
        <v>5</v>
      </c>
    </row>
    <row r="460" spans="1:9" x14ac:dyDescent="0.3">
      <c r="A460" s="19" t="s">
        <v>635</v>
      </c>
      <c r="B460" s="19">
        <v>880</v>
      </c>
      <c r="C460" s="43">
        <v>7.3019939999999997</v>
      </c>
      <c r="D460" s="43">
        <v>39.279261740000003</v>
      </c>
      <c r="E460" s="19">
        <v>3278</v>
      </c>
      <c r="F460" s="19">
        <v>7</v>
      </c>
      <c r="G460" s="44">
        <v>0.36410052850000002</v>
      </c>
      <c r="H460" s="45" t="s">
        <v>176</v>
      </c>
      <c r="I460" s="19">
        <v>5</v>
      </c>
    </row>
    <row r="461" spans="1:9" x14ac:dyDescent="0.3">
      <c r="A461" s="19" t="s">
        <v>636</v>
      </c>
      <c r="B461" s="19">
        <v>819</v>
      </c>
      <c r="C461" s="43">
        <v>19.656178000000001</v>
      </c>
      <c r="D461" s="43">
        <v>77.648936169999999</v>
      </c>
      <c r="E461" s="19">
        <v>141</v>
      </c>
      <c r="F461" s="19">
        <v>139</v>
      </c>
      <c r="G461" s="44">
        <v>0.29685837349999999</v>
      </c>
      <c r="H461" s="45" t="s">
        <v>176</v>
      </c>
      <c r="I461" s="19">
        <v>5</v>
      </c>
    </row>
    <row r="462" spans="1:9" x14ac:dyDescent="0.3">
      <c r="A462" s="19" t="s">
        <v>637</v>
      </c>
      <c r="B462" s="19">
        <v>821</v>
      </c>
      <c r="C462" s="43">
        <v>3.3577780000000002</v>
      </c>
      <c r="D462" s="43">
        <v>0</v>
      </c>
      <c r="E462" s="19">
        <v>0</v>
      </c>
      <c r="F462" s="19">
        <v>298</v>
      </c>
      <c r="G462" s="44">
        <v>0</v>
      </c>
      <c r="H462" s="45" t="s">
        <v>176</v>
      </c>
      <c r="I462" s="19">
        <v>10</v>
      </c>
    </row>
    <row r="463" spans="1:9" x14ac:dyDescent="0.3">
      <c r="A463" s="19" t="s">
        <v>638</v>
      </c>
      <c r="B463" s="19">
        <v>1098</v>
      </c>
      <c r="C463" s="43">
        <v>7.8639900000000003</v>
      </c>
      <c r="D463" s="43">
        <v>51.112863070000003</v>
      </c>
      <c r="E463" s="19">
        <v>241</v>
      </c>
      <c r="F463" s="19">
        <v>106</v>
      </c>
      <c r="G463" s="44">
        <v>0.39614459990000001</v>
      </c>
      <c r="H463" s="45" t="s">
        <v>176</v>
      </c>
      <c r="I463" s="19">
        <v>5</v>
      </c>
    </row>
    <row r="464" spans="1:9" x14ac:dyDescent="0.3">
      <c r="A464" s="19" t="s">
        <v>639</v>
      </c>
      <c r="B464" s="19">
        <v>1916</v>
      </c>
      <c r="C464" s="43">
        <v>0</v>
      </c>
      <c r="D464" s="43">
        <v>96</v>
      </c>
      <c r="E464" s="19">
        <v>3</v>
      </c>
      <c r="F464" s="19">
        <v>402</v>
      </c>
      <c r="G464" s="44">
        <v>0.55000000000000004</v>
      </c>
      <c r="H464" s="46" t="s">
        <v>182</v>
      </c>
      <c r="I464" s="19">
        <v>10</v>
      </c>
    </row>
    <row r="465" spans="1:9" x14ac:dyDescent="0.3">
      <c r="A465" s="19" t="s">
        <v>640</v>
      </c>
      <c r="B465" s="19">
        <v>1178</v>
      </c>
      <c r="C465" s="43">
        <v>8.6204900000000002</v>
      </c>
      <c r="D465" s="43">
        <v>22.75792208</v>
      </c>
      <c r="E465" s="19">
        <v>385</v>
      </c>
      <c r="F465" s="19">
        <v>189</v>
      </c>
      <c r="G465" s="44">
        <v>0.1712092664</v>
      </c>
      <c r="H465" s="45" t="s">
        <v>176</v>
      </c>
      <c r="I465" s="19">
        <v>5</v>
      </c>
    </row>
    <row r="466" spans="1:9" x14ac:dyDescent="0.3">
      <c r="A466" s="19" t="s">
        <v>641</v>
      </c>
      <c r="B466" s="19">
        <v>1126</v>
      </c>
      <c r="C466" s="43">
        <v>7.9303900000000001</v>
      </c>
      <c r="D466" s="43">
        <v>59.827272729999997</v>
      </c>
      <c r="E466" s="19">
        <v>44</v>
      </c>
      <c r="F466" s="19">
        <v>325</v>
      </c>
      <c r="G466" s="44">
        <v>0.41744523630000002</v>
      </c>
      <c r="H466" s="45" t="s">
        <v>176</v>
      </c>
      <c r="I466" s="19">
        <v>5</v>
      </c>
    </row>
    <row r="467" spans="1:9" x14ac:dyDescent="0.3">
      <c r="A467" s="19" t="s">
        <v>642</v>
      </c>
      <c r="B467" s="19">
        <v>2191</v>
      </c>
      <c r="C467" s="43">
        <v>8.2995900000000002</v>
      </c>
      <c r="D467" s="43">
        <v>0</v>
      </c>
      <c r="E467" s="19">
        <v>0</v>
      </c>
      <c r="F467" s="19" t="s">
        <v>181</v>
      </c>
      <c r="G467" s="44">
        <v>0</v>
      </c>
      <c r="H467" s="46" t="s">
        <v>182</v>
      </c>
      <c r="I467" s="19">
        <v>5</v>
      </c>
    </row>
    <row r="468" spans="1:9" x14ac:dyDescent="0.3">
      <c r="A468" s="19" t="s">
        <v>643</v>
      </c>
      <c r="B468" s="19">
        <v>2192</v>
      </c>
      <c r="C468" s="43">
        <v>8.2997099999999993</v>
      </c>
      <c r="D468" s="43">
        <v>0</v>
      </c>
      <c r="E468" s="19">
        <v>0</v>
      </c>
      <c r="F468" s="19">
        <v>310</v>
      </c>
      <c r="G468" s="44">
        <v>0</v>
      </c>
      <c r="H468" s="45" t="s">
        <v>176</v>
      </c>
      <c r="I468" s="19">
        <v>5</v>
      </c>
    </row>
    <row r="469" spans="1:9" x14ac:dyDescent="0.3">
      <c r="A469" s="19" t="s">
        <v>644</v>
      </c>
      <c r="B469" s="19">
        <v>1005</v>
      </c>
      <c r="C469" s="43">
        <v>10.63959</v>
      </c>
      <c r="D469" s="43">
        <v>0</v>
      </c>
      <c r="E469" s="19">
        <v>0</v>
      </c>
      <c r="F469" s="19">
        <v>299</v>
      </c>
      <c r="G469" s="44">
        <v>0</v>
      </c>
      <c r="H469" s="45" t="s">
        <v>176</v>
      </c>
      <c r="I469" s="19">
        <v>10</v>
      </c>
    </row>
    <row r="470" spans="1:9" x14ac:dyDescent="0.3">
      <c r="A470" s="19" t="s">
        <v>645</v>
      </c>
      <c r="B470" s="19">
        <v>2193</v>
      </c>
      <c r="C470" s="43">
        <v>5.9545899999999996</v>
      </c>
      <c r="D470" s="43">
        <v>0</v>
      </c>
      <c r="E470" s="19">
        <v>0</v>
      </c>
      <c r="F470" s="19" t="s">
        <v>181</v>
      </c>
      <c r="G470" s="44">
        <v>0</v>
      </c>
      <c r="H470" s="46" t="s">
        <v>182</v>
      </c>
      <c r="I470" s="19">
        <v>5</v>
      </c>
    </row>
    <row r="471" spans="1:9" x14ac:dyDescent="0.3">
      <c r="A471" s="19" t="s">
        <v>646</v>
      </c>
      <c r="B471" s="19">
        <v>732</v>
      </c>
      <c r="C471" s="43">
        <v>7.4050900000000004</v>
      </c>
      <c r="D471" s="43">
        <v>37.39283124</v>
      </c>
      <c r="E471" s="19">
        <v>717</v>
      </c>
      <c r="F471" s="19">
        <v>52</v>
      </c>
      <c r="G471" s="44">
        <v>0.3519649822</v>
      </c>
      <c r="H471" s="45" t="s">
        <v>176</v>
      </c>
      <c r="I471" s="19">
        <v>10</v>
      </c>
    </row>
    <row r="472" spans="1:9" x14ac:dyDescent="0.3">
      <c r="A472" s="19" t="s">
        <v>647</v>
      </c>
      <c r="B472" s="19">
        <v>737</v>
      </c>
      <c r="C472" s="43">
        <v>10.19632</v>
      </c>
      <c r="D472" s="43">
        <v>50.809631899999999</v>
      </c>
      <c r="E472" s="19">
        <v>489</v>
      </c>
      <c r="F472" s="19">
        <v>56</v>
      </c>
      <c r="G472" s="44">
        <v>0.3493230886</v>
      </c>
      <c r="H472" s="45" t="s">
        <v>176</v>
      </c>
      <c r="I472" s="19">
        <v>10</v>
      </c>
    </row>
    <row r="473" spans="1:9" x14ac:dyDescent="0.3">
      <c r="A473" s="19" t="s">
        <v>648</v>
      </c>
      <c r="B473" s="19">
        <v>731</v>
      </c>
      <c r="C473" s="43">
        <v>14.491978</v>
      </c>
      <c r="D473" s="43">
        <v>40.270939920000004</v>
      </c>
      <c r="E473" s="19">
        <v>1032</v>
      </c>
      <c r="F473" s="19">
        <v>37</v>
      </c>
      <c r="G473" s="44">
        <v>0.1901380741</v>
      </c>
      <c r="H473" s="45" t="s">
        <v>176</v>
      </c>
      <c r="I473" s="19">
        <v>10</v>
      </c>
    </row>
    <row r="474" spans="1:9" x14ac:dyDescent="0.3">
      <c r="A474" s="19" t="s">
        <v>649</v>
      </c>
      <c r="B474" s="19">
        <v>2241</v>
      </c>
      <c r="C474" s="43">
        <v>1.3495900000000001</v>
      </c>
      <c r="D474" s="43">
        <v>0</v>
      </c>
      <c r="E474" s="19">
        <v>0</v>
      </c>
      <c r="F474" s="19" t="s">
        <v>181</v>
      </c>
      <c r="G474" s="44">
        <v>0</v>
      </c>
      <c r="H474" s="46" t="s">
        <v>182</v>
      </c>
      <c r="I474" s="19">
        <v>5</v>
      </c>
    </row>
    <row r="475" spans="1:9" x14ac:dyDescent="0.3">
      <c r="A475" s="19" t="s">
        <v>650</v>
      </c>
      <c r="B475" s="19">
        <v>956</v>
      </c>
      <c r="C475" s="43">
        <v>33.114289999999997</v>
      </c>
      <c r="D475" s="43">
        <v>76.790540539999995</v>
      </c>
      <c r="E475" s="19">
        <v>111</v>
      </c>
      <c r="F475" s="19">
        <v>198</v>
      </c>
      <c r="G475" s="44">
        <v>0.1187712345</v>
      </c>
      <c r="H475" s="45" t="s">
        <v>176</v>
      </c>
      <c r="I475" s="19">
        <v>5</v>
      </c>
    </row>
    <row r="476" spans="1:9" x14ac:dyDescent="0.3">
      <c r="A476" s="19" t="s">
        <v>651</v>
      </c>
      <c r="B476" s="19">
        <v>766</v>
      </c>
      <c r="C476" s="43">
        <v>8.4874899999999993</v>
      </c>
      <c r="D476" s="43">
        <v>35.832868220000002</v>
      </c>
      <c r="E476" s="19">
        <v>516</v>
      </c>
      <c r="F476" s="19">
        <v>86</v>
      </c>
      <c r="G476" s="44">
        <v>0.31313673949999998</v>
      </c>
      <c r="H476" s="45" t="s">
        <v>176</v>
      </c>
      <c r="I476" s="19">
        <v>10</v>
      </c>
    </row>
    <row r="477" spans="1:9" x14ac:dyDescent="0.3">
      <c r="A477" s="19" t="s">
        <v>652</v>
      </c>
      <c r="B477" s="19">
        <v>928</v>
      </c>
      <c r="C477" s="43">
        <v>20.37989</v>
      </c>
      <c r="D477" s="43">
        <v>82</v>
      </c>
      <c r="E477" s="19">
        <v>2</v>
      </c>
      <c r="F477" s="19">
        <v>438</v>
      </c>
      <c r="G477" s="44">
        <v>0.30146475610000001</v>
      </c>
      <c r="H477" s="46" t="s">
        <v>182</v>
      </c>
      <c r="I477" s="19">
        <v>10</v>
      </c>
    </row>
    <row r="478" spans="1:9" x14ac:dyDescent="0.3">
      <c r="A478" s="19" t="s">
        <v>653</v>
      </c>
      <c r="B478" s="19">
        <v>734</v>
      </c>
      <c r="C478" s="43">
        <v>5.6806859999999997</v>
      </c>
      <c r="D478" s="43">
        <v>41.238510640000001</v>
      </c>
      <c r="E478" s="19">
        <v>235</v>
      </c>
      <c r="F478" s="19">
        <v>119</v>
      </c>
      <c r="G478" s="44">
        <v>0.41224803189999998</v>
      </c>
      <c r="H478" s="45" t="s">
        <v>176</v>
      </c>
      <c r="I478" s="19">
        <v>5</v>
      </c>
    </row>
    <row r="479" spans="1:9" x14ac:dyDescent="0.3">
      <c r="A479" s="19" t="s">
        <v>654</v>
      </c>
      <c r="B479" s="19">
        <v>2154</v>
      </c>
      <c r="C479" s="43">
        <v>22.181090000000001</v>
      </c>
      <c r="D479" s="43">
        <v>79.957716050000002</v>
      </c>
      <c r="E479" s="19">
        <v>162</v>
      </c>
      <c r="F479" s="19">
        <v>131</v>
      </c>
      <c r="G479" s="44">
        <v>0.27258975000000002</v>
      </c>
      <c r="H479" s="45" t="s">
        <v>176</v>
      </c>
      <c r="I479" s="19">
        <v>5</v>
      </c>
    </row>
    <row r="480" spans="1:9" x14ac:dyDescent="0.3">
      <c r="A480" s="19" t="s">
        <v>655</v>
      </c>
      <c r="B480" s="19">
        <v>753</v>
      </c>
      <c r="C480" s="43">
        <v>11.997423</v>
      </c>
      <c r="D480" s="43">
        <v>46.320735790000001</v>
      </c>
      <c r="E480" s="19">
        <v>299</v>
      </c>
      <c r="F480" s="19">
        <v>118</v>
      </c>
      <c r="G480" s="44">
        <v>0.2909923915</v>
      </c>
      <c r="H480" s="45" t="s">
        <v>176</v>
      </c>
      <c r="I480" s="19">
        <v>10</v>
      </c>
    </row>
    <row r="481" spans="1:9" x14ac:dyDescent="0.3">
      <c r="A481" s="19" t="s">
        <v>656</v>
      </c>
      <c r="B481" s="19">
        <v>1216</v>
      </c>
      <c r="C481" s="43">
        <v>18.769590000000001</v>
      </c>
      <c r="D481" s="43">
        <v>61.511290320000001</v>
      </c>
      <c r="E481" s="19">
        <v>186</v>
      </c>
      <c r="F481" s="19">
        <v>154</v>
      </c>
      <c r="G481" s="44">
        <v>0.2448594331</v>
      </c>
      <c r="H481" s="45" t="s">
        <v>176</v>
      </c>
      <c r="I481" s="19">
        <v>5</v>
      </c>
    </row>
    <row r="482" spans="1:9" x14ac:dyDescent="0.3">
      <c r="A482" s="19" t="s">
        <v>657</v>
      </c>
      <c r="B482" s="19">
        <v>2084</v>
      </c>
      <c r="C482" s="43">
        <v>16.142440000000001</v>
      </c>
      <c r="D482" s="43">
        <v>51.706666669999997</v>
      </c>
      <c r="E482" s="19">
        <v>90</v>
      </c>
      <c r="F482" s="19">
        <v>254</v>
      </c>
      <c r="G482" s="44">
        <v>0.23780737490000001</v>
      </c>
      <c r="H482" s="45" t="s">
        <v>176</v>
      </c>
      <c r="I482" s="19">
        <v>5</v>
      </c>
    </row>
    <row r="483" spans="1:9" x14ac:dyDescent="0.3">
      <c r="A483" s="19" t="s">
        <v>658</v>
      </c>
      <c r="B483" s="19">
        <v>917</v>
      </c>
      <c r="C483" s="43">
        <v>12.815189999999999</v>
      </c>
      <c r="D483" s="43">
        <v>54.13</v>
      </c>
      <c r="E483" s="19">
        <v>92</v>
      </c>
      <c r="F483" s="19">
        <v>242</v>
      </c>
      <c r="G483" s="44">
        <v>0.3132516165</v>
      </c>
      <c r="H483" s="45" t="s">
        <v>176</v>
      </c>
      <c r="I483" s="19">
        <v>10</v>
      </c>
    </row>
    <row r="484" spans="1:9" x14ac:dyDescent="0.3">
      <c r="A484" s="19" t="s">
        <v>659</v>
      </c>
      <c r="B484" s="19">
        <v>879</v>
      </c>
      <c r="C484" s="43">
        <v>13.81589</v>
      </c>
      <c r="D484" s="43">
        <v>0</v>
      </c>
      <c r="E484" s="19">
        <v>0</v>
      </c>
      <c r="F484" s="19">
        <v>225</v>
      </c>
      <c r="G484" s="44">
        <v>0</v>
      </c>
      <c r="H484" s="45" t="s">
        <v>176</v>
      </c>
      <c r="I484" s="19">
        <v>5</v>
      </c>
    </row>
    <row r="485" spans="1:9" x14ac:dyDescent="0.3">
      <c r="A485" s="19" t="s">
        <v>660</v>
      </c>
      <c r="B485" s="19">
        <v>884</v>
      </c>
      <c r="C485" s="43">
        <v>4.7123220000000003</v>
      </c>
      <c r="D485" s="43">
        <v>0</v>
      </c>
      <c r="E485" s="19">
        <v>0</v>
      </c>
      <c r="F485" s="19">
        <v>226</v>
      </c>
      <c r="G485" s="44">
        <v>0</v>
      </c>
      <c r="H485" s="45" t="s">
        <v>176</v>
      </c>
      <c r="I485" s="19">
        <v>5</v>
      </c>
    </row>
    <row r="486" spans="1:9" x14ac:dyDescent="0.3">
      <c r="A486" s="19" t="s">
        <v>661</v>
      </c>
      <c r="B486" s="19">
        <v>735</v>
      </c>
      <c r="C486" s="43">
        <v>12.328082</v>
      </c>
      <c r="D486" s="43">
        <v>63.580378250000003</v>
      </c>
      <c r="E486" s="19">
        <v>1269</v>
      </c>
      <c r="F486" s="19">
        <v>15</v>
      </c>
      <c r="G486" s="44">
        <v>0.35610241180000002</v>
      </c>
      <c r="H486" s="45" t="s">
        <v>176</v>
      </c>
      <c r="I486" s="19">
        <v>10</v>
      </c>
    </row>
    <row r="487" spans="1:9" x14ac:dyDescent="0.3">
      <c r="A487" s="19" t="s">
        <v>662</v>
      </c>
      <c r="B487" s="19">
        <v>918</v>
      </c>
      <c r="C487" s="43">
        <v>54.802849999999999</v>
      </c>
      <c r="D487" s="43">
        <v>277.48558329999997</v>
      </c>
      <c r="E487" s="19">
        <v>120</v>
      </c>
      <c r="F487" s="19">
        <v>38</v>
      </c>
      <c r="G487" s="44">
        <v>0.35250199180000003</v>
      </c>
      <c r="H487" s="45" t="s">
        <v>176</v>
      </c>
      <c r="I487" s="19">
        <v>5</v>
      </c>
    </row>
    <row r="488" spans="1:9" x14ac:dyDescent="0.3">
      <c r="A488" s="19" t="s">
        <v>663</v>
      </c>
      <c r="B488" s="19">
        <v>1147</v>
      </c>
      <c r="C488" s="43">
        <v>5.0019900000000002</v>
      </c>
      <c r="D488" s="43">
        <v>12.30336134</v>
      </c>
      <c r="E488" s="19">
        <v>119</v>
      </c>
      <c r="F488" s="19">
        <v>286</v>
      </c>
      <c r="G488" s="44">
        <v>0.14344524959999999</v>
      </c>
      <c r="H488" s="45" t="s">
        <v>176</v>
      </c>
      <c r="I488" s="19">
        <v>5</v>
      </c>
    </row>
    <row r="489" spans="1:9" x14ac:dyDescent="0.3">
      <c r="A489" s="19" t="s">
        <v>664</v>
      </c>
      <c r="B489" s="19">
        <v>1111</v>
      </c>
      <c r="C489" s="43">
        <v>7.0869900000000001</v>
      </c>
      <c r="D489" s="43">
        <v>35.262500000000003</v>
      </c>
      <c r="E489" s="19">
        <v>232</v>
      </c>
      <c r="F489" s="19">
        <v>151</v>
      </c>
      <c r="G489" s="44">
        <v>0.34902190709999997</v>
      </c>
      <c r="H489" s="45" t="s">
        <v>176</v>
      </c>
      <c r="I489" s="19">
        <v>5</v>
      </c>
    </row>
    <row r="490" spans="1:9" x14ac:dyDescent="0.3">
      <c r="A490" s="19" t="s">
        <v>665</v>
      </c>
      <c r="B490" s="19">
        <v>2173</v>
      </c>
      <c r="C490" s="43">
        <v>6.97499</v>
      </c>
      <c r="D490" s="43">
        <v>35.731875000000002</v>
      </c>
      <c r="E490" s="19">
        <v>160</v>
      </c>
      <c r="F490" s="19">
        <v>179</v>
      </c>
      <c r="G490" s="44">
        <v>0.35479641779999999</v>
      </c>
      <c r="H490" s="45" t="s">
        <v>176</v>
      </c>
      <c r="I490" s="19">
        <v>5</v>
      </c>
    </row>
    <row r="491" spans="1:9" x14ac:dyDescent="0.3">
      <c r="A491" s="19" t="s">
        <v>666</v>
      </c>
      <c r="B491" s="19">
        <v>837</v>
      </c>
      <c r="C491" s="43">
        <v>15.386990000000001</v>
      </c>
      <c r="D491" s="43">
        <v>50.506103289999999</v>
      </c>
      <c r="E491" s="19">
        <v>426</v>
      </c>
      <c r="F491" s="19">
        <v>96</v>
      </c>
      <c r="G491" s="44">
        <v>0.2453439486</v>
      </c>
      <c r="H491" s="45" t="s">
        <v>176</v>
      </c>
      <c r="I491" s="19">
        <v>5</v>
      </c>
    </row>
    <row r="492" spans="1:9" x14ac:dyDescent="0.3">
      <c r="A492" s="19" t="s">
        <v>667</v>
      </c>
      <c r="B492" s="19">
        <v>870</v>
      </c>
      <c r="C492" s="43">
        <v>7.1787770000000002</v>
      </c>
      <c r="D492" s="43">
        <v>36.214674969999997</v>
      </c>
      <c r="E492" s="19">
        <v>723</v>
      </c>
      <c r="F492" s="19">
        <v>54</v>
      </c>
      <c r="G492" s="44">
        <v>0.35177160210000002</v>
      </c>
      <c r="H492" s="45" t="s">
        <v>176</v>
      </c>
      <c r="I492" s="19">
        <v>5</v>
      </c>
    </row>
    <row r="493" spans="1:9" x14ac:dyDescent="0.3">
      <c r="A493" s="19" t="s">
        <v>668</v>
      </c>
      <c r="B493" s="19">
        <v>2208</v>
      </c>
      <c r="C493" s="43">
        <v>0</v>
      </c>
      <c r="D493" s="43">
        <v>0</v>
      </c>
      <c r="E493" s="19">
        <v>0</v>
      </c>
      <c r="F493" s="19">
        <v>422</v>
      </c>
      <c r="G493" s="44">
        <v>0</v>
      </c>
      <c r="H493" s="46" t="s">
        <v>182</v>
      </c>
      <c r="I493" s="19">
        <v>10</v>
      </c>
    </row>
    <row r="494" spans="1:9" x14ac:dyDescent="0.3">
      <c r="A494" s="19" t="s">
        <v>669</v>
      </c>
      <c r="B494" s="19">
        <v>843</v>
      </c>
      <c r="C494" s="43">
        <v>9.4102604000000003</v>
      </c>
      <c r="D494" s="43">
        <v>29.04561404</v>
      </c>
      <c r="E494" s="19">
        <v>114</v>
      </c>
      <c r="F494" s="19">
        <v>202</v>
      </c>
      <c r="G494" s="44">
        <v>0.22601785290000001</v>
      </c>
      <c r="H494" s="45" t="s">
        <v>176</v>
      </c>
      <c r="I494" s="19">
        <v>5</v>
      </c>
    </row>
    <row r="495" spans="1:9" x14ac:dyDescent="0.3">
      <c r="A495" s="19" t="s">
        <v>670</v>
      </c>
      <c r="B495" s="19">
        <v>941</v>
      </c>
      <c r="C495" s="43">
        <v>17.228190000000001</v>
      </c>
      <c r="D495" s="43">
        <v>50.86063291</v>
      </c>
      <c r="E495" s="19">
        <v>79</v>
      </c>
      <c r="F495" s="19">
        <v>265</v>
      </c>
      <c r="G495" s="44">
        <v>0.21126670049999999</v>
      </c>
      <c r="H495" s="45" t="s">
        <v>176</v>
      </c>
      <c r="I495" s="19">
        <v>10</v>
      </c>
    </row>
    <row r="496" spans="1:9" x14ac:dyDescent="0.3">
      <c r="A496" s="19" t="s">
        <v>671</v>
      </c>
      <c r="B496" s="19">
        <v>778</v>
      </c>
      <c r="C496" s="43">
        <v>7.0657909999999999</v>
      </c>
      <c r="D496" s="43">
        <v>52.892967030000001</v>
      </c>
      <c r="E496" s="19">
        <v>364</v>
      </c>
      <c r="F496" s="19">
        <v>63</v>
      </c>
      <c r="G496" s="44">
        <v>0.41641341189999997</v>
      </c>
      <c r="H496" s="45" t="s">
        <v>176</v>
      </c>
      <c r="I496" s="19">
        <v>10</v>
      </c>
    </row>
    <row r="497" spans="1:9" x14ac:dyDescent="0.3">
      <c r="A497" s="19" t="s">
        <v>672</v>
      </c>
      <c r="B497" s="19">
        <v>1066</v>
      </c>
      <c r="C497" s="43">
        <v>12.746740000000001</v>
      </c>
      <c r="D497" s="43">
        <v>59.158749999999998</v>
      </c>
      <c r="E497" s="19">
        <v>56</v>
      </c>
      <c r="F497" s="19">
        <v>253</v>
      </c>
      <c r="G497" s="44">
        <v>0.33453331079999998</v>
      </c>
      <c r="H497" s="45" t="s">
        <v>176</v>
      </c>
      <c r="I497" s="19">
        <v>5</v>
      </c>
    </row>
    <row r="498" spans="1:9" x14ac:dyDescent="0.3">
      <c r="A498" s="19" t="s">
        <v>673</v>
      </c>
      <c r="B498" s="19">
        <v>1065</v>
      </c>
      <c r="C498" s="43">
        <v>13.19659</v>
      </c>
      <c r="D498" s="43">
        <v>68.528999999999996</v>
      </c>
      <c r="E498" s="19">
        <v>70</v>
      </c>
      <c r="F498" s="19">
        <v>238</v>
      </c>
      <c r="G498" s="44">
        <v>0.35743057680000001</v>
      </c>
      <c r="H498" s="45" t="s">
        <v>176</v>
      </c>
      <c r="I498" s="19">
        <v>5</v>
      </c>
    </row>
    <row r="499" spans="1:9" x14ac:dyDescent="0.3">
      <c r="A499" s="19" t="s">
        <v>674</v>
      </c>
      <c r="B499" s="19">
        <v>903</v>
      </c>
      <c r="C499" s="43">
        <v>12.662129999999999</v>
      </c>
      <c r="D499" s="43">
        <v>53.339504130000002</v>
      </c>
      <c r="E499" s="19">
        <v>121</v>
      </c>
      <c r="F499" s="19">
        <v>181</v>
      </c>
      <c r="G499" s="44">
        <v>0.31261252880000001</v>
      </c>
      <c r="H499" s="45" t="s">
        <v>176</v>
      </c>
      <c r="I499" s="19">
        <v>10</v>
      </c>
    </row>
    <row r="500" spans="1:9" x14ac:dyDescent="0.3">
      <c r="A500" s="19" t="s">
        <v>675</v>
      </c>
      <c r="B500" s="19">
        <v>888</v>
      </c>
      <c r="C500" s="43">
        <v>2.5406040000000001</v>
      </c>
      <c r="D500" s="43">
        <v>16.35136082</v>
      </c>
      <c r="E500" s="19">
        <v>970</v>
      </c>
      <c r="F500" s="19">
        <v>79</v>
      </c>
      <c r="G500" s="44">
        <v>0.3946243082</v>
      </c>
      <c r="H500" s="45" t="s">
        <v>176</v>
      </c>
      <c r="I500" s="19">
        <v>10</v>
      </c>
    </row>
    <row r="501" spans="1:9" x14ac:dyDescent="0.3">
      <c r="A501" s="19" t="s">
        <v>676</v>
      </c>
      <c r="B501" s="19">
        <v>835</v>
      </c>
      <c r="C501" s="43">
        <v>3.3052100000000002</v>
      </c>
      <c r="D501" s="43">
        <v>25.809618059999998</v>
      </c>
      <c r="E501" s="19">
        <v>288</v>
      </c>
      <c r="F501" s="19">
        <v>142</v>
      </c>
      <c r="G501" s="44">
        <v>0.42193882560000001</v>
      </c>
      <c r="H501" s="45" t="s">
        <v>176</v>
      </c>
      <c r="I501" s="19">
        <v>10</v>
      </c>
    </row>
    <row r="502" spans="1:9" x14ac:dyDescent="0.3">
      <c r="A502" s="19" t="s">
        <v>677</v>
      </c>
      <c r="B502" s="19">
        <v>1158</v>
      </c>
      <c r="C502" s="43">
        <v>4.2842900000000004</v>
      </c>
      <c r="D502" s="43">
        <v>0</v>
      </c>
      <c r="E502" s="19">
        <v>0</v>
      </c>
      <c r="F502" s="19">
        <v>482</v>
      </c>
      <c r="G502" s="44">
        <v>0</v>
      </c>
      <c r="H502" s="46" t="s">
        <v>182</v>
      </c>
      <c r="I502" s="19">
        <v>10</v>
      </c>
    </row>
    <row r="503" spans="1:9" x14ac:dyDescent="0.3">
      <c r="A503" s="19" t="s">
        <v>678</v>
      </c>
      <c r="B503" s="19">
        <v>700</v>
      </c>
      <c r="C503" s="43">
        <v>5.9551800000000004</v>
      </c>
      <c r="D503" s="43">
        <v>45.559784409999999</v>
      </c>
      <c r="E503" s="19">
        <v>603</v>
      </c>
      <c r="F503" s="19">
        <v>41</v>
      </c>
      <c r="G503" s="44">
        <v>0.4192886703</v>
      </c>
      <c r="H503" s="45" t="s">
        <v>176</v>
      </c>
      <c r="I503" s="19">
        <v>10</v>
      </c>
    </row>
    <row r="504" spans="1:9" x14ac:dyDescent="0.3">
      <c r="A504" s="19" t="s">
        <v>679</v>
      </c>
      <c r="B504" s="19">
        <v>904</v>
      </c>
      <c r="C504" s="43">
        <v>25.477540000000001</v>
      </c>
      <c r="D504" s="43">
        <v>155.5131868</v>
      </c>
      <c r="E504" s="19">
        <v>91</v>
      </c>
      <c r="F504" s="19">
        <v>91</v>
      </c>
      <c r="G504" s="44">
        <v>0.38617119220000001</v>
      </c>
      <c r="H504" s="45" t="s">
        <v>176</v>
      </c>
      <c r="I504" s="19">
        <v>50</v>
      </c>
    </row>
    <row r="505" spans="1:9" x14ac:dyDescent="0.3">
      <c r="A505" s="19" t="s">
        <v>680</v>
      </c>
      <c r="B505" s="19">
        <v>701</v>
      </c>
      <c r="C505" s="43">
        <v>4.2842900000000004</v>
      </c>
      <c r="D505" s="43">
        <v>22.575348349999999</v>
      </c>
      <c r="E505" s="19">
        <v>9990</v>
      </c>
      <c r="F505" s="19">
        <v>4</v>
      </c>
      <c r="G505" s="44">
        <v>0.36022264050000002</v>
      </c>
      <c r="H505" s="45" t="s">
        <v>176</v>
      </c>
      <c r="I505" s="19">
        <v>10</v>
      </c>
    </row>
    <row r="506" spans="1:9" x14ac:dyDescent="0.3">
      <c r="A506" s="19" t="s">
        <v>681</v>
      </c>
      <c r="B506" s="19">
        <v>905</v>
      </c>
      <c r="C506" s="43">
        <v>16.723089999999999</v>
      </c>
      <c r="D506" s="43">
        <v>117.9237612</v>
      </c>
      <c r="E506" s="19">
        <v>335</v>
      </c>
      <c r="F506" s="19">
        <v>28</v>
      </c>
      <c r="G506" s="44">
        <v>0.40818727430000001</v>
      </c>
      <c r="H506" s="45" t="s">
        <v>176</v>
      </c>
      <c r="I506" s="19">
        <v>50</v>
      </c>
    </row>
    <row r="507" spans="1:9" x14ac:dyDescent="0.3">
      <c r="A507" s="19" t="s">
        <v>682</v>
      </c>
      <c r="B507" s="19">
        <v>1032</v>
      </c>
      <c r="C507" s="43">
        <v>20.359390000000001</v>
      </c>
      <c r="D507" s="43">
        <v>40.725000000000001</v>
      </c>
      <c r="E507" s="19">
        <v>50</v>
      </c>
      <c r="F507" s="19">
        <v>415</v>
      </c>
      <c r="G507" s="44">
        <v>5.007636587E-2</v>
      </c>
      <c r="H507" s="45" t="s">
        <v>176</v>
      </c>
      <c r="I507" s="19">
        <v>5</v>
      </c>
    </row>
    <row r="508" spans="1:9" x14ac:dyDescent="0.3">
      <c r="A508" s="19" t="s">
        <v>683</v>
      </c>
      <c r="B508" s="19">
        <v>1007</v>
      </c>
      <c r="C508" s="43">
        <v>16.089590000000001</v>
      </c>
      <c r="D508" s="43">
        <v>44.719512199999997</v>
      </c>
      <c r="E508" s="19">
        <v>82</v>
      </c>
      <c r="F508" s="19">
        <v>272</v>
      </c>
      <c r="G508" s="44">
        <v>0.19021096809999999</v>
      </c>
      <c r="H508" s="45" t="s">
        <v>176</v>
      </c>
      <c r="I508" s="19">
        <v>10</v>
      </c>
    </row>
    <row r="509" spans="1:9" x14ac:dyDescent="0.3">
      <c r="A509" s="19" t="s">
        <v>684</v>
      </c>
      <c r="B509" s="19">
        <v>754</v>
      </c>
      <c r="C509" s="43">
        <v>4.98034</v>
      </c>
      <c r="D509" s="43">
        <v>32.430153850000004</v>
      </c>
      <c r="E509" s="19">
        <v>455</v>
      </c>
      <c r="F509" s="19">
        <v>85</v>
      </c>
      <c r="G509" s="44">
        <v>0.39642872730000001</v>
      </c>
      <c r="H509" s="45" t="s">
        <v>176</v>
      </c>
      <c r="I509" s="19">
        <v>10</v>
      </c>
    </row>
    <row r="510" spans="1:9" x14ac:dyDescent="0.3">
      <c r="A510" s="19" t="s">
        <v>685</v>
      </c>
      <c r="B510" s="19">
        <v>909</v>
      </c>
      <c r="C510" s="43">
        <v>22.899190000000001</v>
      </c>
      <c r="D510" s="43">
        <v>47.324298249999998</v>
      </c>
      <c r="E510" s="19">
        <v>114</v>
      </c>
      <c r="F510" s="19">
        <v>282</v>
      </c>
      <c r="G510" s="44">
        <v>6.6121932100000003E-2</v>
      </c>
      <c r="H510" s="45" t="s">
        <v>176</v>
      </c>
      <c r="I510" s="19">
        <v>10</v>
      </c>
    </row>
    <row r="511" spans="1:9" x14ac:dyDescent="0.3">
      <c r="A511" s="19" t="s">
        <v>686</v>
      </c>
      <c r="B511" s="19">
        <v>1093</v>
      </c>
      <c r="C511" s="43">
        <v>12.084390000000001</v>
      </c>
      <c r="D511" s="43">
        <v>27.264705880000001</v>
      </c>
      <c r="E511" s="19">
        <v>238</v>
      </c>
      <c r="F511" s="19">
        <v>203</v>
      </c>
      <c r="G511" s="44">
        <v>0.10677533979999999</v>
      </c>
      <c r="H511" s="45" t="s">
        <v>176</v>
      </c>
      <c r="I511" s="19">
        <v>5</v>
      </c>
    </row>
    <row r="512" spans="1:9" x14ac:dyDescent="0.3">
      <c r="A512" s="19" t="s">
        <v>687</v>
      </c>
      <c r="B512" s="19">
        <v>871</v>
      </c>
      <c r="C512" s="43">
        <v>4.3140900000000002</v>
      </c>
      <c r="D512" s="43">
        <v>22.214306780000001</v>
      </c>
      <c r="E512" s="19">
        <v>678</v>
      </c>
      <c r="F512" s="19">
        <v>93</v>
      </c>
      <c r="G512" s="44">
        <v>0.35579677580000002</v>
      </c>
      <c r="H512" s="45" t="s">
        <v>176</v>
      </c>
      <c r="I512" s="19">
        <v>5</v>
      </c>
    </row>
    <row r="513" spans="1:9" x14ac:dyDescent="0.3">
      <c r="A513" s="19" t="s">
        <v>688</v>
      </c>
      <c r="B513" s="19">
        <v>942</v>
      </c>
      <c r="C513" s="43">
        <v>25.669589999999999</v>
      </c>
      <c r="D513" s="43">
        <v>0</v>
      </c>
      <c r="E513" s="19">
        <v>0</v>
      </c>
      <c r="F513" s="19">
        <v>483</v>
      </c>
      <c r="G513" s="44">
        <v>0</v>
      </c>
      <c r="H513" s="46" t="s">
        <v>182</v>
      </c>
      <c r="I513" s="19">
        <v>10</v>
      </c>
    </row>
    <row r="514" spans="1:9" x14ac:dyDescent="0.3">
      <c r="A514" s="19" t="s">
        <v>689</v>
      </c>
      <c r="B514" s="19">
        <v>1017</v>
      </c>
      <c r="C514" s="43">
        <v>10.880789999999999</v>
      </c>
      <c r="D514" s="43">
        <v>86.75</v>
      </c>
      <c r="E514" s="19">
        <v>2</v>
      </c>
      <c r="F514" s="19">
        <v>426</v>
      </c>
      <c r="G514" s="44">
        <v>0.42457302590000001</v>
      </c>
      <c r="H514" s="46" t="s">
        <v>182</v>
      </c>
      <c r="I514" s="19">
        <v>5</v>
      </c>
    </row>
    <row r="515" spans="1:9" x14ac:dyDescent="0.3">
      <c r="A515" s="19" t="s">
        <v>690</v>
      </c>
      <c r="B515" s="19">
        <v>808</v>
      </c>
      <c r="C515" s="43">
        <v>21.69209</v>
      </c>
      <c r="D515" s="43">
        <v>107.9033573</v>
      </c>
      <c r="E515" s="19">
        <v>417</v>
      </c>
      <c r="F515" s="19">
        <v>30</v>
      </c>
      <c r="G515" s="44">
        <v>0.34896742289999999</v>
      </c>
      <c r="H515" s="45" t="s">
        <v>176</v>
      </c>
      <c r="I515" s="19">
        <v>5</v>
      </c>
    </row>
    <row r="516" spans="1:9" x14ac:dyDescent="0.3">
      <c r="A516" s="19" t="s">
        <v>691</v>
      </c>
      <c r="B516" s="19">
        <v>755</v>
      </c>
      <c r="C516" s="43">
        <v>17.903749999999999</v>
      </c>
      <c r="D516" s="43">
        <v>56.466477269999999</v>
      </c>
      <c r="E516" s="19">
        <v>88</v>
      </c>
      <c r="F516" s="19">
        <v>200</v>
      </c>
      <c r="G516" s="44">
        <v>0.23293134500000001</v>
      </c>
      <c r="H516" s="45" t="s">
        <v>176</v>
      </c>
      <c r="I516" s="19">
        <v>10</v>
      </c>
    </row>
    <row r="517" spans="1:9" x14ac:dyDescent="0.3">
      <c r="A517" s="19" t="s">
        <v>692</v>
      </c>
      <c r="B517" s="19">
        <v>872</v>
      </c>
      <c r="C517" s="43">
        <v>22.174838000000001</v>
      </c>
      <c r="D517" s="43">
        <v>0</v>
      </c>
      <c r="E517" s="19">
        <v>0</v>
      </c>
      <c r="F517" s="19">
        <v>489</v>
      </c>
      <c r="G517" s="44">
        <v>0</v>
      </c>
      <c r="H517" s="46" t="s">
        <v>182</v>
      </c>
      <c r="I517" s="19">
        <v>5</v>
      </c>
    </row>
    <row r="518" spans="1:9" x14ac:dyDescent="0.3">
      <c r="A518" s="19" t="s">
        <v>693</v>
      </c>
      <c r="B518" s="19">
        <v>1092</v>
      </c>
      <c r="C518" s="43">
        <v>15.14959</v>
      </c>
      <c r="D518" s="43">
        <v>87.176470589999994</v>
      </c>
      <c r="E518" s="19">
        <v>17</v>
      </c>
      <c r="F518" s="19">
        <v>277</v>
      </c>
      <c r="G518" s="44">
        <v>0.37621927799999999</v>
      </c>
      <c r="H518" s="45" t="s">
        <v>176</v>
      </c>
      <c r="I518" s="19">
        <v>5</v>
      </c>
    </row>
    <row r="519" spans="1:9" x14ac:dyDescent="0.3">
      <c r="A519" s="19" t="s">
        <v>694</v>
      </c>
      <c r="B519" s="19">
        <v>869</v>
      </c>
      <c r="C519" s="43">
        <v>10.572975</v>
      </c>
      <c r="D519" s="43">
        <v>0</v>
      </c>
      <c r="E519" s="19">
        <v>0</v>
      </c>
      <c r="F519" s="19">
        <v>488</v>
      </c>
      <c r="G519" s="44">
        <v>0</v>
      </c>
      <c r="H519" s="46" t="s">
        <v>182</v>
      </c>
      <c r="I519" s="19">
        <v>5</v>
      </c>
    </row>
    <row r="520" spans="1:9" x14ac:dyDescent="0.3">
      <c r="A520" s="19" t="s">
        <v>695</v>
      </c>
      <c r="B520" s="19">
        <v>1039</v>
      </c>
      <c r="C520" s="43">
        <v>16.973237000000001</v>
      </c>
      <c r="D520" s="43">
        <v>84</v>
      </c>
      <c r="E520" s="19">
        <v>75</v>
      </c>
      <c r="F520" s="19">
        <v>168</v>
      </c>
      <c r="G520" s="44">
        <v>0.3479376548</v>
      </c>
      <c r="H520" s="45" t="s">
        <v>176</v>
      </c>
      <c r="I520" s="19">
        <v>5</v>
      </c>
    </row>
    <row r="521" spans="1:9" x14ac:dyDescent="0.3">
      <c r="A521" s="19" t="s">
        <v>696</v>
      </c>
      <c r="B521" s="19">
        <v>1136</v>
      </c>
      <c r="C521" s="43">
        <v>7.9729650000000003</v>
      </c>
      <c r="D521" s="43">
        <v>0</v>
      </c>
      <c r="E521" s="19">
        <v>0</v>
      </c>
      <c r="F521" s="19">
        <v>487</v>
      </c>
      <c r="G521" s="44">
        <v>0</v>
      </c>
      <c r="H521" s="46" t="s">
        <v>182</v>
      </c>
      <c r="I521" s="19">
        <v>5</v>
      </c>
    </row>
    <row r="522" spans="1:9" x14ac:dyDescent="0.3">
      <c r="A522" s="19" t="s">
        <v>697</v>
      </c>
      <c r="B522" s="19">
        <v>895</v>
      </c>
      <c r="C522" s="43">
        <v>5.8160841999999997</v>
      </c>
      <c r="D522" s="43">
        <v>49.357723579999998</v>
      </c>
      <c r="E522" s="19">
        <v>369</v>
      </c>
      <c r="F522" s="19">
        <v>64</v>
      </c>
      <c r="G522" s="44">
        <v>0.43216465879999999</v>
      </c>
      <c r="H522" s="45" t="s">
        <v>176</v>
      </c>
      <c r="I522" s="19">
        <v>60</v>
      </c>
    </row>
    <row r="523" spans="1:9" x14ac:dyDescent="0.3">
      <c r="A523" s="19" t="s">
        <v>698</v>
      </c>
      <c r="B523" s="19">
        <v>897</v>
      </c>
      <c r="C523" s="43">
        <v>9.1200842000000009</v>
      </c>
      <c r="D523" s="43">
        <v>35.452344089999997</v>
      </c>
      <c r="E523" s="19">
        <v>465</v>
      </c>
      <c r="F523" s="19">
        <v>107</v>
      </c>
      <c r="G523" s="44">
        <v>0.29275088329999999</v>
      </c>
      <c r="H523" s="45" t="s">
        <v>176</v>
      </c>
      <c r="I523" s="19">
        <v>60</v>
      </c>
    </row>
    <row r="524" spans="1:9" x14ac:dyDescent="0.3">
      <c r="A524" s="19" t="s">
        <v>699</v>
      </c>
      <c r="B524" s="19">
        <v>771</v>
      </c>
      <c r="C524" s="43">
        <v>19.915335249999998</v>
      </c>
      <c r="D524" s="43">
        <v>51.529433959999999</v>
      </c>
      <c r="E524" s="19">
        <v>265</v>
      </c>
      <c r="F524" s="19">
        <v>166</v>
      </c>
      <c r="G524" s="44">
        <v>0.16351535</v>
      </c>
      <c r="H524" s="45" t="s">
        <v>176</v>
      </c>
      <c r="I524" s="19">
        <v>15</v>
      </c>
    </row>
    <row r="525" spans="1:9" x14ac:dyDescent="0.3">
      <c r="A525" s="19" t="s">
        <v>700</v>
      </c>
      <c r="B525" s="19">
        <v>854</v>
      </c>
      <c r="C525" s="43">
        <v>47.5</v>
      </c>
      <c r="D525" s="43">
        <v>156.5245879</v>
      </c>
      <c r="E525" s="19">
        <v>364</v>
      </c>
      <c r="F525" s="19">
        <v>29</v>
      </c>
      <c r="G525" s="44">
        <v>0.24653330100000001</v>
      </c>
      <c r="H525" s="45" t="s">
        <v>176</v>
      </c>
      <c r="I525" s="19">
        <v>10</v>
      </c>
    </row>
    <row r="526" spans="1:9" x14ac:dyDescent="0.3">
      <c r="A526" s="19" t="s">
        <v>701</v>
      </c>
      <c r="B526" s="19">
        <v>761</v>
      </c>
      <c r="C526" s="43">
        <v>10.2064</v>
      </c>
      <c r="D526" s="43">
        <v>29.770126550000001</v>
      </c>
      <c r="E526" s="19">
        <v>4030</v>
      </c>
      <c r="F526" s="19">
        <v>18</v>
      </c>
      <c r="G526" s="44">
        <v>0.2071596704</v>
      </c>
      <c r="H526" s="45" t="s">
        <v>176</v>
      </c>
      <c r="I526" s="19">
        <v>500</v>
      </c>
    </row>
    <row r="527" spans="1:9" x14ac:dyDescent="0.3">
      <c r="A527" s="19" t="s">
        <v>702</v>
      </c>
      <c r="B527" s="19">
        <v>745</v>
      </c>
      <c r="C527" s="43">
        <v>82.882000000000005</v>
      </c>
      <c r="D527" s="43">
        <v>236.82244900000001</v>
      </c>
      <c r="E527" s="19">
        <v>343</v>
      </c>
      <c r="F527" s="19">
        <v>26</v>
      </c>
      <c r="G527" s="44">
        <v>0.2000247322</v>
      </c>
      <c r="H527" s="45" t="s">
        <v>176</v>
      </c>
      <c r="I527" s="19">
        <v>10</v>
      </c>
    </row>
    <row r="528" spans="1:9" x14ac:dyDescent="0.3">
      <c r="A528" s="19" t="s">
        <v>703</v>
      </c>
      <c r="B528" s="19">
        <v>957</v>
      </c>
      <c r="C528" s="43">
        <v>11.707942600000001</v>
      </c>
      <c r="D528" s="43">
        <v>34.551744190000001</v>
      </c>
      <c r="E528" s="19">
        <v>86</v>
      </c>
      <c r="F528" s="19">
        <v>275</v>
      </c>
      <c r="G528" s="44">
        <v>0.21114756649999999</v>
      </c>
      <c r="H528" s="45" t="s">
        <v>176</v>
      </c>
      <c r="I528" s="19">
        <v>15</v>
      </c>
    </row>
    <row r="529" spans="1:9" x14ac:dyDescent="0.3">
      <c r="A529" s="19" t="s">
        <v>704</v>
      </c>
      <c r="B529" s="19">
        <v>866</v>
      </c>
      <c r="C529" s="43">
        <v>5.0048339999999998</v>
      </c>
      <c r="D529" s="43">
        <v>34.026532260000003</v>
      </c>
      <c r="E529" s="19">
        <v>496</v>
      </c>
      <c r="F529" s="19">
        <v>75</v>
      </c>
      <c r="G529" s="44">
        <v>0.40291378030000002</v>
      </c>
      <c r="H529" s="45" t="s">
        <v>176</v>
      </c>
      <c r="I529" s="19">
        <v>200</v>
      </c>
    </row>
    <row r="530" spans="1:9" x14ac:dyDescent="0.3">
      <c r="A530" s="19" t="s">
        <v>705</v>
      </c>
      <c r="B530" s="19">
        <v>763</v>
      </c>
      <c r="C530" s="43">
        <v>9.3020849999999999</v>
      </c>
      <c r="D530" s="43">
        <v>47.587835050000002</v>
      </c>
      <c r="E530" s="19">
        <v>679</v>
      </c>
      <c r="F530" s="19">
        <v>39</v>
      </c>
      <c r="G530" s="44">
        <v>0.35452809019999998</v>
      </c>
      <c r="H530" s="45" t="s">
        <v>176</v>
      </c>
      <c r="I530" s="19">
        <v>500</v>
      </c>
    </row>
    <row r="531" spans="1:9" x14ac:dyDescent="0.3">
      <c r="A531" s="19" t="s">
        <v>706</v>
      </c>
      <c r="B531" s="19">
        <v>767</v>
      </c>
      <c r="C531" s="43">
        <v>7.6230531499999996</v>
      </c>
      <c r="D531" s="43">
        <v>27.716821249999999</v>
      </c>
      <c r="E531" s="19">
        <v>1186</v>
      </c>
      <c r="F531" s="19">
        <v>55</v>
      </c>
      <c r="G531" s="44">
        <v>0.27496654349999999</v>
      </c>
      <c r="H531" s="45" t="s">
        <v>176</v>
      </c>
      <c r="I531" s="19">
        <v>15</v>
      </c>
    </row>
    <row r="532" spans="1:9" x14ac:dyDescent="0.3">
      <c r="A532" s="19" t="s">
        <v>707</v>
      </c>
      <c r="B532" s="19">
        <v>867</v>
      </c>
      <c r="C532" s="43">
        <v>6.1912339999999997</v>
      </c>
      <c r="D532" s="43">
        <v>30.01758092</v>
      </c>
      <c r="E532" s="19">
        <v>587</v>
      </c>
      <c r="F532" s="19">
        <v>81</v>
      </c>
      <c r="G532" s="44">
        <v>0.34374640429999997</v>
      </c>
      <c r="H532" s="45" t="s">
        <v>176</v>
      </c>
      <c r="I532" s="19">
        <v>200</v>
      </c>
    </row>
    <row r="533" spans="1:9" x14ac:dyDescent="0.3">
      <c r="A533" s="19" t="s">
        <v>708</v>
      </c>
      <c r="B533" s="19">
        <v>762</v>
      </c>
      <c r="C533" s="43">
        <v>12.293085</v>
      </c>
      <c r="D533" s="43">
        <v>51.468346459999999</v>
      </c>
      <c r="E533" s="19">
        <v>635</v>
      </c>
      <c r="F533" s="19">
        <v>44</v>
      </c>
      <c r="G533" s="44">
        <v>0.31115251710000003</v>
      </c>
      <c r="H533" s="45" t="s">
        <v>176</v>
      </c>
      <c r="I533" s="19">
        <v>500</v>
      </c>
    </row>
    <row r="534" spans="1:9" x14ac:dyDescent="0.3">
      <c r="A534" s="19" t="s">
        <v>709</v>
      </c>
      <c r="B534" s="19">
        <v>898</v>
      </c>
      <c r="C534" s="43">
        <v>4.1360842</v>
      </c>
      <c r="D534" s="43">
        <v>28.082587060000002</v>
      </c>
      <c r="E534" s="19">
        <v>201</v>
      </c>
      <c r="F534" s="19">
        <v>164</v>
      </c>
      <c r="G534" s="44">
        <v>0.4027171236</v>
      </c>
      <c r="H534" s="45" t="s">
        <v>176</v>
      </c>
      <c r="I534" s="19">
        <v>60</v>
      </c>
    </row>
    <row r="535" spans="1:9" x14ac:dyDescent="0.3">
      <c r="A535" s="19" t="s">
        <v>710</v>
      </c>
      <c r="B535" s="19">
        <v>876</v>
      </c>
      <c r="C535" s="43">
        <v>9.9616140000000009</v>
      </c>
      <c r="D535" s="43">
        <v>47.931674309999998</v>
      </c>
      <c r="E535" s="19">
        <v>436</v>
      </c>
      <c r="F535" s="19">
        <v>67</v>
      </c>
      <c r="G535" s="44">
        <v>0.34217053980000001</v>
      </c>
      <c r="H535" s="45" t="s">
        <v>176</v>
      </c>
      <c r="I535" s="19">
        <v>200</v>
      </c>
    </row>
    <row r="536" spans="1:9" x14ac:dyDescent="0.3">
      <c r="A536" s="19" t="s">
        <v>711</v>
      </c>
      <c r="B536" s="19">
        <v>865</v>
      </c>
      <c r="C536" s="43">
        <v>11.707000000000001</v>
      </c>
      <c r="D536" s="43">
        <v>42.484270459999998</v>
      </c>
      <c r="E536" s="19">
        <v>281</v>
      </c>
      <c r="F536" s="19">
        <v>125</v>
      </c>
      <c r="G536" s="44">
        <v>0.27443918960000002</v>
      </c>
      <c r="H536" s="45" t="s">
        <v>176</v>
      </c>
      <c r="I536" s="19">
        <v>200</v>
      </c>
    </row>
    <row r="537" spans="1:9" x14ac:dyDescent="0.3">
      <c r="A537" s="19" t="s">
        <v>712</v>
      </c>
      <c r="B537" s="19">
        <v>875</v>
      </c>
      <c r="C537" s="43">
        <v>63.153613999999997</v>
      </c>
      <c r="D537" s="43">
        <v>87.86830827</v>
      </c>
      <c r="E537" s="19">
        <v>266</v>
      </c>
      <c r="F537" s="19">
        <v>74</v>
      </c>
      <c r="G537" s="44">
        <v>-0.1687302822</v>
      </c>
      <c r="H537" s="45" t="s">
        <v>176</v>
      </c>
      <c r="I537" s="19">
        <v>200</v>
      </c>
    </row>
    <row r="538" spans="1:9" x14ac:dyDescent="0.3">
      <c r="A538" s="19" t="s">
        <v>713</v>
      </c>
      <c r="B538" s="19">
        <v>769</v>
      </c>
      <c r="C538" s="43">
        <v>8.70495105</v>
      </c>
      <c r="D538" s="43">
        <v>41.271173429999997</v>
      </c>
      <c r="E538" s="19">
        <v>2514</v>
      </c>
      <c r="F538" s="19">
        <v>11</v>
      </c>
      <c r="G538" s="44">
        <v>0.33907914830000002</v>
      </c>
      <c r="H538" s="45" t="s">
        <v>176</v>
      </c>
      <c r="I538" s="19">
        <v>15</v>
      </c>
    </row>
    <row r="539" spans="1:9" x14ac:dyDescent="0.3">
      <c r="A539" s="19" t="s">
        <v>714</v>
      </c>
      <c r="B539" s="19">
        <v>709</v>
      </c>
      <c r="C539" s="43">
        <v>15.28959</v>
      </c>
      <c r="D539" s="43">
        <v>78.526181820000005</v>
      </c>
      <c r="E539" s="19">
        <v>110</v>
      </c>
      <c r="F539" s="19">
        <v>147</v>
      </c>
      <c r="G539" s="44">
        <v>0.35529309269999998</v>
      </c>
      <c r="H539" s="45" t="s">
        <v>176</v>
      </c>
      <c r="I539" s="19">
        <v>10</v>
      </c>
    </row>
    <row r="540" spans="1:9" x14ac:dyDescent="0.3">
      <c r="A540" s="19" t="s">
        <v>715</v>
      </c>
      <c r="B540" s="19">
        <v>768</v>
      </c>
      <c r="C540" s="43">
        <v>15.349589999999999</v>
      </c>
      <c r="D540" s="43">
        <v>63.477614039999999</v>
      </c>
      <c r="E540" s="19">
        <v>285</v>
      </c>
      <c r="F540" s="19">
        <v>88</v>
      </c>
      <c r="G540" s="44">
        <v>0.30818892640000001</v>
      </c>
      <c r="H540" s="45" t="s">
        <v>176</v>
      </c>
      <c r="I540" s="19">
        <v>10</v>
      </c>
    </row>
    <row r="541" spans="1:9" x14ac:dyDescent="0.3">
      <c r="A541" s="19" t="s">
        <v>716</v>
      </c>
      <c r="B541" s="19">
        <v>947</v>
      </c>
      <c r="C541" s="43">
        <v>5.7495900000000004</v>
      </c>
      <c r="D541" s="43">
        <v>36.705882350000003</v>
      </c>
      <c r="E541" s="19">
        <v>85</v>
      </c>
      <c r="F541" s="19">
        <v>248</v>
      </c>
      <c r="G541" s="44">
        <v>0.3933605288</v>
      </c>
      <c r="H541" s="45" t="s">
        <v>176</v>
      </c>
      <c r="I541" s="19">
        <v>10</v>
      </c>
    </row>
    <row r="542" spans="1:9" x14ac:dyDescent="0.3">
      <c r="A542" s="19" t="s">
        <v>717</v>
      </c>
      <c r="B542" s="19">
        <v>877</v>
      </c>
      <c r="C542" s="43">
        <v>2.5255899999999998</v>
      </c>
      <c r="D542" s="43">
        <v>18.482762279999999</v>
      </c>
      <c r="E542" s="19">
        <v>1792</v>
      </c>
      <c r="F542" s="19">
        <v>33</v>
      </c>
      <c r="G542" s="44">
        <v>0.41335429940000001</v>
      </c>
      <c r="H542" s="45" t="s">
        <v>176</v>
      </c>
      <c r="I542" s="19">
        <v>10</v>
      </c>
    </row>
    <row r="543" spans="1:9" x14ac:dyDescent="0.3">
      <c r="A543" s="19" t="s">
        <v>718</v>
      </c>
      <c r="B543" s="19">
        <v>2237</v>
      </c>
      <c r="C543" s="43">
        <v>8.0195900000000009</v>
      </c>
      <c r="D543" s="43">
        <v>0</v>
      </c>
      <c r="E543" s="19">
        <v>0</v>
      </c>
      <c r="F543" s="19" t="s">
        <v>181</v>
      </c>
      <c r="G543" s="44">
        <v>0</v>
      </c>
      <c r="H543" s="46" t="s">
        <v>182</v>
      </c>
      <c r="I543" s="19">
        <v>50</v>
      </c>
    </row>
    <row r="544" spans="1:9" x14ac:dyDescent="0.3">
      <c r="A544" s="19" t="s">
        <v>719</v>
      </c>
      <c r="B544" s="19">
        <v>900</v>
      </c>
      <c r="C544" s="43">
        <v>14.063212500000001</v>
      </c>
      <c r="D544" s="43">
        <v>49.953034969999997</v>
      </c>
      <c r="E544" s="19">
        <v>715</v>
      </c>
      <c r="F544" s="19">
        <v>49</v>
      </c>
      <c r="G544" s="44">
        <v>0.26847130990000001</v>
      </c>
      <c r="H544" s="45" t="s">
        <v>176</v>
      </c>
      <c r="I544" s="19">
        <v>5</v>
      </c>
    </row>
    <row r="545" spans="1:9" x14ac:dyDescent="0.3">
      <c r="A545" s="19" t="s">
        <v>720</v>
      </c>
      <c r="B545" s="19">
        <v>979</v>
      </c>
      <c r="C545" s="43">
        <v>8.9814000000000007</v>
      </c>
      <c r="D545" s="43">
        <v>44.468148149999998</v>
      </c>
      <c r="E545" s="19">
        <v>81</v>
      </c>
      <c r="F545" s="19">
        <v>192</v>
      </c>
      <c r="G545" s="44">
        <v>0.34802621929999999</v>
      </c>
      <c r="H545" s="45" t="s">
        <v>176</v>
      </c>
      <c r="I545" s="19">
        <v>10</v>
      </c>
    </row>
    <row r="546" spans="1:9" x14ac:dyDescent="0.3">
      <c r="A546" s="19" t="s">
        <v>721</v>
      </c>
      <c r="B546" s="19">
        <v>704</v>
      </c>
      <c r="C546" s="43">
        <v>9.1669999999999998</v>
      </c>
      <c r="D546" s="43">
        <v>24.691508339999999</v>
      </c>
      <c r="E546" s="19">
        <v>3958</v>
      </c>
      <c r="F546" s="19">
        <v>12</v>
      </c>
      <c r="G546" s="44">
        <v>0.1787387601</v>
      </c>
      <c r="H546" s="45" t="s">
        <v>176</v>
      </c>
      <c r="I546" s="19">
        <v>10</v>
      </c>
    </row>
    <row r="547" spans="1:9" x14ac:dyDescent="0.3">
      <c r="A547" s="19" t="s">
        <v>722</v>
      </c>
      <c r="B547" s="19">
        <v>925</v>
      </c>
      <c r="C547" s="43">
        <v>2.5119600000000002</v>
      </c>
      <c r="D547" s="43">
        <v>16.24583333</v>
      </c>
      <c r="E547" s="19">
        <v>72</v>
      </c>
      <c r="F547" s="19">
        <v>209</v>
      </c>
      <c r="G547" s="44">
        <v>0.39537819950000003</v>
      </c>
      <c r="H547" s="45" t="s">
        <v>176</v>
      </c>
      <c r="I547" s="19">
        <v>10</v>
      </c>
    </row>
    <row r="548" spans="1:9" x14ac:dyDescent="0.3">
      <c r="A548" s="19" t="s">
        <v>723</v>
      </c>
      <c r="B548" s="19">
        <v>785</v>
      </c>
      <c r="C548" s="43">
        <v>0</v>
      </c>
      <c r="D548" s="43">
        <v>0</v>
      </c>
      <c r="E548" s="19">
        <v>0</v>
      </c>
      <c r="F548" s="19">
        <v>227</v>
      </c>
      <c r="G548" s="44">
        <v>0</v>
      </c>
      <c r="H548" s="45" t="s">
        <v>176</v>
      </c>
      <c r="I548" s="19">
        <v>200</v>
      </c>
    </row>
    <row r="549" spans="1:9" x14ac:dyDescent="0.3">
      <c r="A549" s="19" t="s">
        <v>724</v>
      </c>
      <c r="B549" s="19">
        <v>781</v>
      </c>
      <c r="C549" s="43">
        <v>0</v>
      </c>
      <c r="D549" s="43">
        <v>0</v>
      </c>
      <c r="E549" s="19">
        <v>0</v>
      </c>
      <c r="F549" s="19">
        <v>228</v>
      </c>
      <c r="G549" s="44">
        <v>0</v>
      </c>
      <c r="H549" s="45" t="s">
        <v>176</v>
      </c>
      <c r="I549" s="19">
        <v>200</v>
      </c>
    </row>
    <row r="550" spans="1:9" x14ac:dyDescent="0.3">
      <c r="A550" s="19" t="s">
        <v>725</v>
      </c>
      <c r="B550" s="19">
        <v>733</v>
      </c>
      <c r="C550" s="43">
        <v>0</v>
      </c>
      <c r="D550" s="43">
        <v>0</v>
      </c>
      <c r="E550" s="19">
        <v>0</v>
      </c>
      <c r="F550" s="19">
        <v>229</v>
      </c>
      <c r="G550" s="44">
        <v>0</v>
      </c>
      <c r="H550" s="45" t="s">
        <v>176</v>
      </c>
      <c r="I550" s="19">
        <v>200</v>
      </c>
    </row>
    <row r="551" spans="1:9" x14ac:dyDescent="0.3">
      <c r="A551" s="19" t="s">
        <v>726</v>
      </c>
      <c r="B551" s="19">
        <v>770</v>
      </c>
      <c r="C551" s="43">
        <v>0</v>
      </c>
      <c r="D551" s="43">
        <v>0</v>
      </c>
      <c r="E551" s="19">
        <v>0</v>
      </c>
      <c r="F551" s="19">
        <v>230</v>
      </c>
      <c r="G551" s="44">
        <v>0</v>
      </c>
      <c r="H551" s="45" t="s">
        <v>176</v>
      </c>
      <c r="I551" s="19">
        <v>200</v>
      </c>
    </row>
    <row r="552" spans="1:9" x14ac:dyDescent="0.3">
      <c r="A552" s="19" t="s">
        <v>727</v>
      </c>
      <c r="B552" s="19">
        <v>790</v>
      </c>
      <c r="C552" s="43">
        <v>15.348591000000001</v>
      </c>
      <c r="D552" s="43">
        <v>47.962608699999997</v>
      </c>
      <c r="E552" s="19">
        <v>230</v>
      </c>
      <c r="F552" s="19">
        <v>157</v>
      </c>
      <c r="G552" s="44">
        <v>0.22998840309999999</v>
      </c>
      <c r="H552" s="45" t="s">
        <v>176</v>
      </c>
      <c r="I552" s="19">
        <v>10</v>
      </c>
    </row>
    <row r="553" spans="1:9" x14ac:dyDescent="0.3">
      <c r="A553" s="19" t="s">
        <v>728</v>
      </c>
      <c r="B553" s="19">
        <v>791</v>
      </c>
      <c r="C553" s="43">
        <v>12.269064999999999</v>
      </c>
      <c r="D553" s="43">
        <v>47.242716979999997</v>
      </c>
      <c r="E553" s="19">
        <v>265</v>
      </c>
      <c r="F553" s="19">
        <v>128</v>
      </c>
      <c r="G553" s="44">
        <v>0.29029721860000002</v>
      </c>
      <c r="H553" s="45" t="s">
        <v>176</v>
      </c>
      <c r="I553" s="19">
        <v>10</v>
      </c>
    </row>
    <row r="554" spans="1:9" x14ac:dyDescent="0.3">
      <c r="A554" s="19" t="s">
        <v>729</v>
      </c>
      <c r="B554" s="19">
        <v>984</v>
      </c>
      <c r="C554" s="43">
        <v>19.645</v>
      </c>
      <c r="D554" s="43">
        <v>80.752941179999993</v>
      </c>
      <c r="E554" s="19">
        <v>34</v>
      </c>
      <c r="F554" s="19">
        <v>201</v>
      </c>
      <c r="G554" s="44">
        <v>0.30672712699999999</v>
      </c>
      <c r="H554" s="45" t="s">
        <v>176</v>
      </c>
      <c r="I554" s="19">
        <v>10</v>
      </c>
    </row>
    <row r="555" spans="1:9" x14ac:dyDescent="0.3">
      <c r="A555" s="19" t="s">
        <v>730</v>
      </c>
      <c r="B555" s="19">
        <v>795</v>
      </c>
      <c r="C555" s="43">
        <v>12.3471812</v>
      </c>
      <c r="D555" s="43">
        <v>43.623606559999999</v>
      </c>
      <c r="E555" s="19">
        <v>305</v>
      </c>
      <c r="F555" s="19">
        <v>129</v>
      </c>
      <c r="G555" s="44">
        <v>0.26696101779999998</v>
      </c>
      <c r="H555" s="45" t="s">
        <v>176</v>
      </c>
      <c r="I555" s="19">
        <v>10</v>
      </c>
    </row>
    <row r="556" spans="1:9" x14ac:dyDescent="0.3">
      <c r="A556" s="19" t="s">
        <v>731</v>
      </c>
      <c r="B556" s="19">
        <v>792</v>
      </c>
      <c r="C556" s="43">
        <v>14.7089626</v>
      </c>
      <c r="D556" s="43">
        <v>47.01518325</v>
      </c>
      <c r="E556" s="19">
        <v>191</v>
      </c>
      <c r="F556" s="19">
        <v>170</v>
      </c>
      <c r="G556" s="44">
        <v>0.23714441620000001</v>
      </c>
      <c r="H556" s="45" t="s">
        <v>176</v>
      </c>
      <c r="I556" s="19">
        <v>10</v>
      </c>
    </row>
    <row r="557" spans="1:9" x14ac:dyDescent="0.3">
      <c r="A557" s="19" t="s">
        <v>732</v>
      </c>
      <c r="B557" s="19">
        <v>800</v>
      </c>
      <c r="C557" s="43">
        <v>9.9801819999999992</v>
      </c>
      <c r="D557" s="43">
        <v>0</v>
      </c>
      <c r="E557" s="19">
        <v>0</v>
      </c>
      <c r="F557" s="19">
        <v>231</v>
      </c>
      <c r="G557" s="44">
        <v>0</v>
      </c>
      <c r="H557" s="45" t="s">
        <v>176</v>
      </c>
      <c r="I557" s="19">
        <v>10</v>
      </c>
    </row>
    <row r="558" spans="1:9" x14ac:dyDescent="0.3">
      <c r="A558" s="19" t="s">
        <v>733</v>
      </c>
      <c r="B558" s="19">
        <v>793</v>
      </c>
      <c r="C558" s="43">
        <v>12.6603862</v>
      </c>
      <c r="D558" s="43">
        <v>49.984186049999998</v>
      </c>
      <c r="E558" s="19">
        <v>215</v>
      </c>
      <c r="F558" s="19">
        <v>141</v>
      </c>
      <c r="G558" s="44">
        <v>0.29671216639999998</v>
      </c>
      <c r="H558" s="45" t="s">
        <v>176</v>
      </c>
      <c r="I558" s="19">
        <v>10</v>
      </c>
    </row>
    <row r="559" spans="1:9" x14ac:dyDescent="0.3">
      <c r="A559" s="19" t="s">
        <v>734</v>
      </c>
      <c r="B559" s="19">
        <v>986</v>
      </c>
      <c r="C559" s="43">
        <v>19.517489000000001</v>
      </c>
      <c r="D559" s="43">
        <v>0</v>
      </c>
      <c r="E559" s="19">
        <v>0</v>
      </c>
      <c r="F559" s="19">
        <v>232</v>
      </c>
      <c r="G559" s="44">
        <v>0</v>
      </c>
      <c r="H559" s="45" t="s">
        <v>176</v>
      </c>
      <c r="I559" s="19">
        <v>10</v>
      </c>
    </row>
    <row r="560" spans="1:9" x14ac:dyDescent="0.3">
      <c r="A560" s="19" t="s">
        <v>735</v>
      </c>
      <c r="B560" s="19">
        <v>985</v>
      </c>
      <c r="C560" s="43">
        <v>8.5761579999999995</v>
      </c>
      <c r="D560" s="43">
        <v>70.150000000000006</v>
      </c>
      <c r="E560" s="19">
        <v>12</v>
      </c>
      <c r="F560" s="19">
        <v>213</v>
      </c>
      <c r="G560" s="44">
        <v>0.42774543120000003</v>
      </c>
      <c r="H560" s="45" t="s">
        <v>176</v>
      </c>
      <c r="I560" s="19">
        <v>10</v>
      </c>
    </row>
    <row r="561" spans="1:9" x14ac:dyDescent="0.3">
      <c r="A561" s="19" t="s">
        <v>736</v>
      </c>
      <c r="B561" s="19">
        <v>759</v>
      </c>
      <c r="C561" s="43">
        <v>11.376150000000001</v>
      </c>
      <c r="D561" s="43">
        <v>49.119445910000003</v>
      </c>
      <c r="E561" s="19">
        <v>379</v>
      </c>
      <c r="F561" s="19">
        <v>83</v>
      </c>
      <c r="G561" s="44">
        <v>0.31839824249999998</v>
      </c>
      <c r="H561" s="45" t="s">
        <v>176</v>
      </c>
      <c r="I561" s="19">
        <v>10</v>
      </c>
    </row>
    <row r="562" spans="1:9" x14ac:dyDescent="0.3">
      <c r="A562" s="19" t="s">
        <v>737</v>
      </c>
      <c r="B562" s="19">
        <v>893</v>
      </c>
      <c r="C562" s="43">
        <v>8.5849074999999999</v>
      </c>
      <c r="D562" s="43">
        <v>28.242234270000001</v>
      </c>
      <c r="E562" s="19">
        <v>461</v>
      </c>
      <c r="F562" s="19">
        <v>148</v>
      </c>
      <c r="G562" s="44">
        <v>0.24602590869999999</v>
      </c>
      <c r="H562" s="45" t="s">
        <v>176</v>
      </c>
      <c r="I562" s="19">
        <v>5</v>
      </c>
    </row>
    <row r="563" spans="1:9" x14ac:dyDescent="0.3">
      <c r="A563" s="19" t="s">
        <v>738</v>
      </c>
      <c r="B563" s="19">
        <v>894</v>
      </c>
      <c r="C563" s="43">
        <v>6.4962650000000002</v>
      </c>
      <c r="D563" s="43">
        <v>0</v>
      </c>
      <c r="E563" s="19">
        <v>0</v>
      </c>
      <c r="F563" s="19">
        <v>484</v>
      </c>
      <c r="G563" s="44">
        <v>0</v>
      </c>
      <c r="H563" s="46" t="s">
        <v>182</v>
      </c>
      <c r="I563" s="19">
        <v>5</v>
      </c>
    </row>
    <row r="564" spans="1:9" x14ac:dyDescent="0.3">
      <c r="A564" s="19" t="s">
        <v>739</v>
      </c>
      <c r="B564" s="19">
        <v>842</v>
      </c>
      <c r="C564" s="43">
        <v>10.475749</v>
      </c>
      <c r="D564" s="43">
        <v>37.775586590000003</v>
      </c>
      <c r="E564" s="19">
        <v>358</v>
      </c>
      <c r="F564" s="19">
        <v>127</v>
      </c>
      <c r="G564" s="44">
        <v>0.27268467689999998</v>
      </c>
      <c r="H564" s="45" t="s">
        <v>176</v>
      </c>
      <c r="I564" s="19">
        <v>5</v>
      </c>
    </row>
    <row r="565" spans="1:9" x14ac:dyDescent="0.3">
      <c r="A565" s="19" t="s">
        <v>740</v>
      </c>
      <c r="B565" s="19">
        <v>860</v>
      </c>
      <c r="C565" s="43">
        <v>8.5547550000000001</v>
      </c>
      <c r="D565" s="43">
        <v>31.186837310000001</v>
      </c>
      <c r="E565" s="19">
        <v>1426</v>
      </c>
      <c r="F565" s="19">
        <v>32</v>
      </c>
      <c r="G565" s="44">
        <v>0.27569340980000001</v>
      </c>
      <c r="H565" s="45" t="s">
        <v>176</v>
      </c>
      <c r="I565" s="19">
        <v>5</v>
      </c>
    </row>
    <row r="566" spans="1:9" x14ac:dyDescent="0.3">
      <c r="A566" s="19" t="s">
        <v>741</v>
      </c>
      <c r="B566" s="19">
        <v>890</v>
      </c>
      <c r="C566" s="43">
        <v>13.0826145</v>
      </c>
      <c r="D566" s="43">
        <v>38.16656442</v>
      </c>
      <c r="E566" s="19">
        <v>652</v>
      </c>
      <c r="F566" s="19">
        <v>92</v>
      </c>
      <c r="G566" s="44">
        <v>0.20722315590000001</v>
      </c>
      <c r="H566" s="45" t="s">
        <v>176</v>
      </c>
      <c r="I566" s="19">
        <v>5</v>
      </c>
    </row>
    <row r="567" spans="1:9" x14ac:dyDescent="0.3">
      <c r="A567" s="19" t="s">
        <v>742</v>
      </c>
      <c r="B567" s="19">
        <v>738</v>
      </c>
      <c r="C567" s="43">
        <v>11.18099</v>
      </c>
      <c r="D567" s="43">
        <v>29.64269767</v>
      </c>
      <c r="E567" s="19">
        <v>215</v>
      </c>
      <c r="F567" s="19">
        <v>193</v>
      </c>
      <c r="G567" s="44">
        <v>0.17280794669999999</v>
      </c>
      <c r="H567" s="45" t="s">
        <v>176</v>
      </c>
      <c r="I567" s="19">
        <v>10</v>
      </c>
    </row>
    <row r="568" spans="1:9" x14ac:dyDescent="0.3">
      <c r="A568" s="19" t="s">
        <v>743</v>
      </c>
      <c r="B568" s="19">
        <v>739</v>
      </c>
      <c r="C568" s="43">
        <v>8.1954799999999999</v>
      </c>
      <c r="D568" s="43">
        <v>28.886007330000002</v>
      </c>
      <c r="E568" s="19">
        <v>273</v>
      </c>
      <c r="F568" s="19">
        <v>163</v>
      </c>
      <c r="G568" s="44">
        <v>0.2662820078</v>
      </c>
      <c r="H568" s="45" t="s">
        <v>176</v>
      </c>
      <c r="I568" s="19">
        <v>10</v>
      </c>
    </row>
    <row r="569" spans="1:9" x14ac:dyDescent="0.3">
      <c r="A569" s="19" t="s">
        <v>744</v>
      </c>
      <c r="B569" s="19">
        <v>740</v>
      </c>
      <c r="C569" s="43">
        <v>8.2054600000000004</v>
      </c>
      <c r="D569" s="43">
        <v>29.484855970000002</v>
      </c>
      <c r="E569" s="19">
        <v>243</v>
      </c>
      <c r="F569" s="19">
        <v>171</v>
      </c>
      <c r="G569" s="44">
        <v>0.27170594930000003</v>
      </c>
      <c r="H569" s="45" t="s">
        <v>176</v>
      </c>
      <c r="I569" s="19">
        <v>10</v>
      </c>
    </row>
    <row r="570" spans="1:9" x14ac:dyDescent="0.3">
      <c r="A570" s="19" t="s">
        <v>745</v>
      </c>
      <c r="B570" s="19">
        <v>741</v>
      </c>
      <c r="C570" s="43">
        <v>8.4279811999999996</v>
      </c>
      <c r="D570" s="43">
        <v>29.17268765</v>
      </c>
      <c r="E570" s="19">
        <v>413</v>
      </c>
      <c r="F570" s="19">
        <v>133</v>
      </c>
      <c r="G570" s="44">
        <v>0.26110028320000001</v>
      </c>
      <c r="H570" s="45" t="s">
        <v>176</v>
      </c>
      <c r="I570" s="19">
        <v>10</v>
      </c>
    </row>
    <row r="571" spans="1:9" x14ac:dyDescent="0.3">
      <c r="A571" s="19" t="s">
        <v>746</v>
      </c>
      <c r="B571" s="19">
        <v>742</v>
      </c>
      <c r="C571" s="43">
        <v>7.1634500000000001</v>
      </c>
      <c r="D571" s="43">
        <v>24.55170648</v>
      </c>
      <c r="E571" s="19">
        <v>293</v>
      </c>
      <c r="F571" s="19">
        <v>182</v>
      </c>
      <c r="G571" s="44">
        <v>0.25823005710000002</v>
      </c>
      <c r="H571" s="45" t="s">
        <v>176</v>
      </c>
      <c r="I571" s="19">
        <v>10</v>
      </c>
    </row>
    <row r="572" spans="1:9" x14ac:dyDescent="0.3">
      <c r="A572" s="19" t="s">
        <v>747</v>
      </c>
      <c r="B572" s="19">
        <v>743</v>
      </c>
      <c r="C572" s="43">
        <v>16.288699999999999</v>
      </c>
      <c r="D572" s="43">
        <v>45.502557080000003</v>
      </c>
      <c r="E572" s="19">
        <v>219</v>
      </c>
      <c r="F572" s="19">
        <v>177</v>
      </c>
      <c r="G572" s="44">
        <v>0.19202671130000001</v>
      </c>
      <c r="H572" s="45" t="s">
        <v>176</v>
      </c>
      <c r="I572" s="19">
        <v>10</v>
      </c>
    </row>
    <row r="573" spans="1:9" x14ac:dyDescent="0.3">
      <c r="A573" s="19" t="s">
        <v>748</v>
      </c>
      <c r="B573" s="19">
        <v>744</v>
      </c>
      <c r="C573" s="43">
        <v>9.6229429999999994</v>
      </c>
      <c r="D573" s="43">
        <v>25.33620968</v>
      </c>
      <c r="E573" s="19">
        <v>248</v>
      </c>
      <c r="F573" s="19">
        <v>194</v>
      </c>
      <c r="G573" s="44">
        <v>0.17019011040000001</v>
      </c>
      <c r="H573" s="45" t="s">
        <v>176</v>
      </c>
      <c r="I573" s="19">
        <v>10</v>
      </c>
    </row>
    <row r="574" spans="1:9" x14ac:dyDescent="0.3">
      <c r="A574" s="19" t="s">
        <v>749</v>
      </c>
      <c r="B574" s="19">
        <v>868</v>
      </c>
      <c r="C574" s="43">
        <v>8.8844554999999996</v>
      </c>
      <c r="D574" s="43">
        <v>28.15051613</v>
      </c>
      <c r="E574" s="19">
        <v>465</v>
      </c>
      <c r="F574" s="19">
        <v>146</v>
      </c>
      <c r="G574" s="44">
        <v>0.2343945788</v>
      </c>
      <c r="H574" s="45" t="s">
        <v>176</v>
      </c>
      <c r="I574" s="19">
        <v>5</v>
      </c>
    </row>
    <row r="575" spans="1:9" x14ac:dyDescent="0.3">
      <c r="A575" s="19" t="s">
        <v>750</v>
      </c>
      <c r="B575" s="19">
        <v>847</v>
      </c>
      <c r="C575" s="43">
        <v>10.696809999999999</v>
      </c>
      <c r="D575" s="43">
        <v>34.264474229999998</v>
      </c>
      <c r="E575" s="19">
        <v>485</v>
      </c>
      <c r="F575" s="19">
        <v>120</v>
      </c>
      <c r="G575" s="44">
        <v>0.23781631</v>
      </c>
      <c r="H575" s="45" t="s">
        <v>176</v>
      </c>
      <c r="I575" s="19">
        <v>5</v>
      </c>
    </row>
    <row r="576" spans="1:9" x14ac:dyDescent="0.3">
      <c r="A576" s="19" t="s">
        <v>751</v>
      </c>
      <c r="B576" s="19">
        <v>841</v>
      </c>
      <c r="C576" s="43">
        <v>11.622590000000001</v>
      </c>
      <c r="D576" s="43">
        <v>36.719155170000001</v>
      </c>
      <c r="E576" s="19">
        <v>580</v>
      </c>
      <c r="F576" s="19">
        <v>104</v>
      </c>
      <c r="G576" s="44">
        <v>0.23347338209999999</v>
      </c>
      <c r="H576" s="45" t="s">
        <v>176</v>
      </c>
      <c r="I576" s="19">
        <v>5</v>
      </c>
    </row>
    <row r="577" spans="1:9" x14ac:dyDescent="0.3">
      <c r="A577" s="19" t="s">
        <v>752</v>
      </c>
      <c r="B577" s="19">
        <v>886</v>
      </c>
      <c r="C577" s="43">
        <v>8.2311174999999999</v>
      </c>
      <c r="D577" s="43">
        <v>29.385355109999999</v>
      </c>
      <c r="E577" s="19">
        <v>704</v>
      </c>
      <c r="F577" s="19">
        <v>90</v>
      </c>
      <c r="G577" s="44">
        <v>0.26989048729999998</v>
      </c>
      <c r="H577" s="45" t="s">
        <v>176</v>
      </c>
      <c r="I577" s="19">
        <v>5</v>
      </c>
    </row>
    <row r="578" spans="1:9" x14ac:dyDescent="0.3">
      <c r="A578" s="19" t="s">
        <v>753</v>
      </c>
      <c r="B578" s="19">
        <v>858</v>
      </c>
      <c r="C578" s="43">
        <v>9.6386900000000004</v>
      </c>
      <c r="D578" s="43">
        <v>36.738745979999997</v>
      </c>
      <c r="E578" s="19">
        <v>311</v>
      </c>
      <c r="F578" s="19">
        <v>136</v>
      </c>
      <c r="G578" s="44">
        <v>0.28764237879999999</v>
      </c>
      <c r="H578" s="45" t="s">
        <v>176</v>
      </c>
      <c r="I578" s="19">
        <v>5</v>
      </c>
    </row>
    <row r="579" spans="1:9" x14ac:dyDescent="0.3">
      <c r="A579" s="19" t="s">
        <v>754</v>
      </c>
      <c r="B579" s="19">
        <v>882</v>
      </c>
      <c r="C579" s="43">
        <v>10.1231025</v>
      </c>
      <c r="D579" s="43">
        <v>34.233583330000002</v>
      </c>
      <c r="E579" s="19">
        <v>600</v>
      </c>
      <c r="F579" s="19">
        <v>97</v>
      </c>
      <c r="G579" s="44">
        <v>0.25429322570000001</v>
      </c>
      <c r="H579" s="45" t="s">
        <v>176</v>
      </c>
      <c r="I579" s="19">
        <v>5</v>
      </c>
    </row>
    <row r="580" spans="1:9" x14ac:dyDescent="0.3">
      <c r="A580" s="19" t="s">
        <v>755</v>
      </c>
      <c r="B580" s="19">
        <v>849</v>
      </c>
      <c r="C580" s="43">
        <v>13.650914999999999</v>
      </c>
      <c r="D580" s="43">
        <v>43.303606559999999</v>
      </c>
      <c r="E580" s="19">
        <v>183</v>
      </c>
      <c r="F580" s="19">
        <v>237</v>
      </c>
      <c r="G580" s="44">
        <v>0.234762631</v>
      </c>
      <c r="H580" s="45" t="s">
        <v>176</v>
      </c>
      <c r="I580" s="19">
        <v>5</v>
      </c>
    </row>
    <row r="581" spans="1:9" x14ac:dyDescent="0.3">
      <c r="A581" s="19" t="s">
        <v>756</v>
      </c>
      <c r="B581" s="19">
        <v>806</v>
      </c>
      <c r="C581" s="43">
        <v>9.3279981999999997</v>
      </c>
      <c r="D581" s="43">
        <v>39.268026319999997</v>
      </c>
      <c r="E581" s="19">
        <v>152</v>
      </c>
      <c r="F581" s="19">
        <v>183</v>
      </c>
      <c r="G581" s="44">
        <v>0.31245309290000001</v>
      </c>
      <c r="H581" s="45" t="s">
        <v>176</v>
      </c>
      <c r="I581" s="19">
        <v>5</v>
      </c>
    </row>
    <row r="582" spans="1:9" x14ac:dyDescent="0.3">
      <c r="A582" s="19" t="s">
        <v>757</v>
      </c>
      <c r="B582" s="19">
        <v>845</v>
      </c>
      <c r="C582" s="43">
        <v>16.772024999999999</v>
      </c>
      <c r="D582" s="43">
        <v>42.314539609999997</v>
      </c>
      <c r="E582" s="19">
        <v>934</v>
      </c>
      <c r="F582" s="19">
        <v>76</v>
      </c>
      <c r="G582" s="44">
        <v>0.1536344681</v>
      </c>
      <c r="H582" s="45" t="s">
        <v>176</v>
      </c>
      <c r="I582" s="19">
        <v>5</v>
      </c>
    </row>
    <row r="583" spans="1:9" x14ac:dyDescent="0.3">
      <c r="A583" s="19" t="s">
        <v>758</v>
      </c>
      <c r="B583" s="19">
        <v>881</v>
      </c>
      <c r="C583" s="43">
        <v>10.76741</v>
      </c>
      <c r="D583" s="43">
        <v>44.523624030000001</v>
      </c>
      <c r="E583" s="19">
        <v>516</v>
      </c>
      <c r="F583" s="19">
        <v>72</v>
      </c>
      <c r="G583" s="44">
        <v>0.3081641155</v>
      </c>
      <c r="H583" s="45" t="s">
        <v>176</v>
      </c>
      <c r="I583" s="19">
        <v>5</v>
      </c>
    </row>
    <row r="584" spans="1:9" x14ac:dyDescent="0.3">
      <c r="A584" s="19" t="s">
        <v>759</v>
      </c>
      <c r="B584" s="19">
        <v>850</v>
      </c>
      <c r="C584" s="43">
        <v>9.0288044999999997</v>
      </c>
      <c r="D584" s="43">
        <v>29.202754819999999</v>
      </c>
      <c r="E584" s="19">
        <v>363</v>
      </c>
      <c r="F584" s="19">
        <v>153</v>
      </c>
      <c r="G584" s="44">
        <v>0.24082353510000001</v>
      </c>
      <c r="H584" s="45" t="s">
        <v>176</v>
      </c>
      <c r="I584" s="19">
        <v>5</v>
      </c>
    </row>
    <row r="585" spans="1:9" x14ac:dyDescent="0.3">
      <c r="A585" s="19" t="s">
        <v>760</v>
      </c>
      <c r="B585" s="19">
        <v>844</v>
      </c>
      <c r="C585" s="43">
        <v>9.4833324999999995</v>
      </c>
      <c r="D585" s="43">
        <v>35.461497559999998</v>
      </c>
      <c r="E585" s="19">
        <v>2464</v>
      </c>
      <c r="F585" s="19">
        <v>21</v>
      </c>
      <c r="G585" s="44">
        <v>0.28257382930000002</v>
      </c>
      <c r="H585" s="45" t="s">
        <v>176</v>
      </c>
      <c r="I585" s="19">
        <v>5</v>
      </c>
    </row>
    <row r="586" spans="1:9" x14ac:dyDescent="0.3">
      <c r="A586" s="19" t="s">
        <v>761</v>
      </c>
      <c r="B586" s="19">
        <v>848</v>
      </c>
      <c r="C586" s="43">
        <v>12.599411</v>
      </c>
      <c r="D586" s="43">
        <v>38.216443339999998</v>
      </c>
      <c r="E586" s="19">
        <v>1403</v>
      </c>
      <c r="F586" s="19">
        <v>35</v>
      </c>
      <c r="G586" s="44">
        <v>0.22031440129999999</v>
      </c>
      <c r="H586" s="45" t="s">
        <v>176</v>
      </c>
      <c r="I586" s="19">
        <v>5</v>
      </c>
    </row>
    <row r="587" spans="1:9" x14ac:dyDescent="0.3">
      <c r="A587" s="19" t="s">
        <v>762</v>
      </c>
      <c r="B587" s="19">
        <v>2252</v>
      </c>
      <c r="C587" s="43">
        <v>6.1185900000000002</v>
      </c>
      <c r="D587" s="43">
        <v>0</v>
      </c>
      <c r="E587" s="19">
        <v>0</v>
      </c>
      <c r="F587" s="19" t="s">
        <v>181</v>
      </c>
      <c r="G587" s="44">
        <v>0</v>
      </c>
      <c r="H587" s="46" t="s">
        <v>182</v>
      </c>
      <c r="I587" s="19">
        <v>5</v>
      </c>
    </row>
    <row r="588" spans="1:9" x14ac:dyDescent="0.3">
      <c r="A588" s="19" t="s">
        <v>763</v>
      </c>
      <c r="B588" s="19">
        <v>2253</v>
      </c>
      <c r="C588" s="43">
        <v>3.72119</v>
      </c>
      <c r="D588" s="43">
        <v>0</v>
      </c>
      <c r="E588" s="19">
        <v>0</v>
      </c>
      <c r="F588" s="19" t="s">
        <v>181</v>
      </c>
      <c r="G588" s="44">
        <v>0</v>
      </c>
      <c r="H588" s="46" t="s">
        <v>182</v>
      </c>
      <c r="I588" s="19">
        <v>5</v>
      </c>
    </row>
    <row r="589" spans="1:9" x14ac:dyDescent="0.3">
      <c r="A589" s="19" t="s">
        <v>764</v>
      </c>
      <c r="B589" s="19">
        <v>2278</v>
      </c>
      <c r="C589" s="43">
        <v>10.14569</v>
      </c>
      <c r="D589" s="43">
        <v>0</v>
      </c>
      <c r="E589" s="19">
        <v>0</v>
      </c>
      <c r="F589" s="19" t="s">
        <v>181</v>
      </c>
      <c r="G589" s="44">
        <v>0</v>
      </c>
      <c r="H589" s="46" t="s">
        <v>182</v>
      </c>
      <c r="I589" s="19">
        <v>15</v>
      </c>
    </row>
    <row r="590" spans="1:9" x14ac:dyDescent="0.3">
      <c r="A590" s="19" t="s">
        <v>765</v>
      </c>
      <c r="B590" s="19">
        <v>2315</v>
      </c>
      <c r="C590" s="43">
        <v>2.7720842000000001</v>
      </c>
      <c r="D590" s="43">
        <v>0</v>
      </c>
      <c r="E590" s="19">
        <v>0</v>
      </c>
      <c r="F590" s="19" t="s">
        <v>181</v>
      </c>
      <c r="G590" s="44">
        <v>0</v>
      </c>
      <c r="H590" s="46" t="s">
        <v>182</v>
      </c>
      <c r="I590" s="19">
        <v>60</v>
      </c>
    </row>
  </sheetData>
  <autoFilter ref="A1:I590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7E22"/>
  </sheetPr>
  <dimension ref="A1:G2584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50" customWidth="1"/>
    <col min="3" max="3" width="8" customWidth="1"/>
    <col min="4" max="4" width="20" customWidth="1"/>
    <col min="5" max="5" width="18" customWidth="1"/>
    <col min="6" max="6" width="12" customWidth="1"/>
    <col min="7" max="7" width="16" customWidth="1"/>
  </cols>
  <sheetData>
    <row r="1" spans="1:7" ht="26.4" x14ac:dyDescent="0.3">
      <c r="A1" s="33" t="s">
        <v>766</v>
      </c>
      <c r="B1" s="33" t="s">
        <v>767</v>
      </c>
      <c r="C1" s="33" t="s">
        <v>768</v>
      </c>
      <c r="D1" s="33" t="s">
        <v>769</v>
      </c>
      <c r="E1" s="33" t="s">
        <v>770</v>
      </c>
      <c r="F1" s="33" t="s">
        <v>771</v>
      </c>
      <c r="G1" s="33" t="s">
        <v>772</v>
      </c>
    </row>
    <row r="2" spans="1:7" x14ac:dyDescent="0.3">
      <c r="A2" s="19">
        <v>1334</v>
      </c>
      <c r="B2" s="19" t="s">
        <v>773</v>
      </c>
      <c r="C2" s="19" t="s">
        <v>774</v>
      </c>
      <c r="D2" s="19" t="s">
        <v>775</v>
      </c>
      <c r="E2" s="19" t="s">
        <v>776</v>
      </c>
      <c r="F2" s="19">
        <v>0</v>
      </c>
      <c r="G2" s="43">
        <v>17584</v>
      </c>
    </row>
    <row r="3" spans="1:7" x14ac:dyDescent="0.3">
      <c r="A3" s="19">
        <v>716</v>
      </c>
      <c r="B3" s="19" t="s">
        <v>777</v>
      </c>
      <c r="C3" s="19" t="s">
        <v>774</v>
      </c>
      <c r="D3" s="19" t="s">
        <v>778</v>
      </c>
      <c r="E3" s="19" t="s">
        <v>776</v>
      </c>
      <c r="F3" s="19">
        <v>0.113</v>
      </c>
      <c r="G3" s="43">
        <v>4280.09</v>
      </c>
    </row>
    <row r="4" spans="1:7" x14ac:dyDescent="0.3">
      <c r="A4" s="19">
        <v>1333</v>
      </c>
      <c r="B4" s="19" t="s">
        <v>779</v>
      </c>
      <c r="C4" s="19" t="s">
        <v>774</v>
      </c>
      <c r="D4" s="19" t="s">
        <v>775</v>
      </c>
      <c r="E4" s="19" t="s">
        <v>776</v>
      </c>
      <c r="F4" s="19">
        <v>0</v>
      </c>
      <c r="G4" s="43">
        <v>11298</v>
      </c>
    </row>
    <row r="5" spans="1:7" x14ac:dyDescent="0.3">
      <c r="A5" s="19">
        <v>1463</v>
      </c>
      <c r="B5" s="19" t="s">
        <v>780</v>
      </c>
      <c r="C5" s="19" t="s">
        <v>781</v>
      </c>
      <c r="D5" s="19" t="s">
        <v>775</v>
      </c>
      <c r="E5" s="19" t="s">
        <v>776</v>
      </c>
      <c r="F5" s="19">
        <v>0</v>
      </c>
      <c r="G5" s="43">
        <v>6.58</v>
      </c>
    </row>
    <row r="6" spans="1:7" x14ac:dyDescent="0.3">
      <c r="A6" s="19">
        <v>1459</v>
      </c>
      <c r="B6" s="19" t="s">
        <v>782</v>
      </c>
      <c r="C6" s="19" t="s">
        <v>774</v>
      </c>
      <c r="D6" s="19" t="s">
        <v>783</v>
      </c>
      <c r="E6" s="19" t="s">
        <v>784</v>
      </c>
      <c r="F6" s="19">
        <v>0</v>
      </c>
      <c r="G6" s="43">
        <v>37469.65</v>
      </c>
    </row>
    <row r="7" spans="1:7" x14ac:dyDescent="0.3">
      <c r="A7" s="19">
        <v>557</v>
      </c>
      <c r="B7" s="19" t="s">
        <v>785</v>
      </c>
      <c r="C7" s="19" t="s">
        <v>774</v>
      </c>
      <c r="D7" s="19" t="s">
        <v>786</v>
      </c>
      <c r="E7" s="19" t="s">
        <v>776</v>
      </c>
      <c r="F7" s="19">
        <v>0</v>
      </c>
      <c r="G7" s="43">
        <v>1042.22</v>
      </c>
    </row>
    <row r="8" spans="1:7" x14ac:dyDescent="0.3">
      <c r="A8" s="19">
        <v>1465</v>
      </c>
      <c r="B8" s="19" t="s">
        <v>787</v>
      </c>
      <c r="C8" s="19" t="s">
        <v>774</v>
      </c>
      <c r="D8" s="19" t="s">
        <v>788</v>
      </c>
      <c r="E8" s="19" t="s">
        <v>776</v>
      </c>
      <c r="F8" s="19">
        <v>0</v>
      </c>
      <c r="G8" s="43">
        <v>12155</v>
      </c>
    </row>
    <row r="9" spans="1:7" x14ac:dyDescent="0.3">
      <c r="A9" s="19">
        <v>1466</v>
      </c>
      <c r="B9" s="19" t="s">
        <v>789</v>
      </c>
      <c r="C9" s="19" t="s">
        <v>774</v>
      </c>
      <c r="D9" s="19" t="s">
        <v>775</v>
      </c>
      <c r="E9" s="19" t="s">
        <v>776</v>
      </c>
      <c r="F9" s="19">
        <v>0</v>
      </c>
      <c r="G9" s="43">
        <v>14097</v>
      </c>
    </row>
    <row r="10" spans="1:7" x14ac:dyDescent="0.3">
      <c r="A10" s="19">
        <v>2656</v>
      </c>
      <c r="B10" s="19" t="s">
        <v>790</v>
      </c>
      <c r="C10" s="19" t="s">
        <v>774</v>
      </c>
      <c r="D10" s="19" t="s">
        <v>775</v>
      </c>
      <c r="E10" s="19" t="s">
        <v>776</v>
      </c>
      <c r="F10" s="19">
        <v>0</v>
      </c>
      <c r="G10" s="43">
        <v>12955</v>
      </c>
    </row>
    <row r="11" spans="1:7" x14ac:dyDescent="0.3">
      <c r="A11" s="19">
        <v>1331</v>
      </c>
      <c r="B11" s="19" t="s">
        <v>791</v>
      </c>
      <c r="C11" s="19" t="s">
        <v>774</v>
      </c>
      <c r="D11" s="19" t="s">
        <v>786</v>
      </c>
      <c r="E11" s="19" t="s">
        <v>776</v>
      </c>
      <c r="F11" s="19">
        <v>1</v>
      </c>
      <c r="G11" s="43">
        <v>714.76</v>
      </c>
    </row>
    <row r="12" spans="1:7" x14ac:dyDescent="0.3">
      <c r="A12" s="19">
        <v>1467</v>
      </c>
      <c r="B12" s="19" t="s">
        <v>792</v>
      </c>
      <c r="C12" s="19" t="s">
        <v>774</v>
      </c>
      <c r="D12" s="19" t="s">
        <v>775</v>
      </c>
      <c r="E12" s="19" t="s">
        <v>776</v>
      </c>
      <c r="F12" s="19">
        <v>0</v>
      </c>
      <c r="G12" s="43">
        <v>991.08</v>
      </c>
    </row>
    <row r="13" spans="1:7" x14ac:dyDescent="0.3">
      <c r="A13" s="19">
        <v>1468</v>
      </c>
      <c r="B13" s="19" t="s">
        <v>793</v>
      </c>
      <c r="C13" s="19" t="s">
        <v>774</v>
      </c>
      <c r="D13" s="19" t="s">
        <v>794</v>
      </c>
      <c r="E13" s="19" t="s">
        <v>776</v>
      </c>
      <c r="F13" s="19">
        <v>0.5</v>
      </c>
      <c r="G13" s="43">
        <v>38230</v>
      </c>
    </row>
    <row r="14" spans="1:7" x14ac:dyDescent="0.3">
      <c r="A14" s="19">
        <v>560</v>
      </c>
      <c r="B14" s="19" t="s">
        <v>795</v>
      </c>
      <c r="C14" s="19" t="s">
        <v>774</v>
      </c>
      <c r="D14" s="19" t="s">
        <v>786</v>
      </c>
      <c r="E14" s="19" t="s">
        <v>776</v>
      </c>
      <c r="F14" s="19">
        <v>3</v>
      </c>
      <c r="G14" s="43">
        <v>702.96</v>
      </c>
    </row>
    <row r="15" spans="1:7" x14ac:dyDescent="0.3">
      <c r="A15" s="19">
        <v>293</v>
      </c>
      <c r="B15" s="19" t="s">
        <v>796</v>
      </c>
      <c r="C15" s="19" t="s">
        <v>774</v>
      </c>
      <c r="D15" s="19" t="s">
        <v>778</v>
      </c>
      <c r="E15" s="19" t="s">
        <v>776</v>
      </c>
      <c r="F15" s="19">
        <v>0</v>
      </c>
      <c r="G15" s="43">
        <v>7965.2</v>
      </c>
    </row>
    <row r="16" spans="1:7" x14ac:dyDescent="0.3">
      <c r="A16" s="19">
        <v>4000</v>
      </c>
      <c r="B16" s="19" t="s">
        <v>797</v>
      </c>
      <c r="C16" s="19" t="s">
        <v>774</v>
      </c>
      <c r="D16" s="19" t="s">
        <v>778</v>
      </c>
      <c r="E16" s="19" t="s">
        <v>776</v>
      </c>
      <c r="F16" s="19">
        <v>0</v>
      </c>
      <c r="G16" s="43">
        <v>1537.5</v>
      </c>
    </row>
    <row r="17" spans="1:7" x14ac:dyDescent="0.3">
      <c r="A17" s="19">
        <v>2724</v>
      </c>
      <c r="B17" s="19" t="s">
        <v>798</v>
      </c>
      <c r="C17" s="19" t="s">
        <v>774</v>
      </c>
      <c r="D17" s="19" t="s">
        <v>786</v>
      </c>
      <c r="E17" s="19" t="s">
        <v>784</v>
      </c>
      <c r="F17" s="19">
        <v>0</v>
      </c>
      <c r="G17" s="43">
        <v>23400</v>
      </c>
    </row>
    <row r="18" spans="1:7" x14ac:dyDescent="0.3">
      <c r="A18" s="19">
        <v>258</v>
      </c>
      <c r="B18" s="19" t="s">
        <v>799</v>
      </c>
      <c r="C18" s="19" t="s">
        <v>774</v>
      </c>
      <c r="D18" s="19" t="s">
        <v>778</v>
      </c>
      <c r="E18" s="19" t="s">
        <v>776</v>
      </c>
      <c r="F18" s="19">
        <v>0</v>
      </c>
      <c r="G18" s="43">
        <v>1361.36</v>
      </c>
    </row>
    <row r="19" spans="1:7" x14ac:dyDescent="0.3">
      <c r="A19" s="19">
        <v>1469</v>
      </c>
      <c r="B19" s="19" t="s">
        <v>800</v>
      </c>
      <c r="C19" s="19" t="s">
        <v>774</v>
      </c>
      <c r="D19" s="19" t="s">
        <v>788</v>
      </c>
      <c r="E19" s="19" t="s">
        <v>776</v>
      </c>
      <c r="F19" s="19">
        <v>0</v>
      </c>
      <c r="G19" s="43">
        <v>0</v>
      </c>
    </row>
    <row r="20" spans="1:7" x14ac:dyDescent="0.3">
      <c r="A20" s="19">
        <v>1470</v>
      </c>
      <c r="B20" s="19" t="s">
        <v>801</v>
      </c>
      <c r="C20" s="19" t="s">
        <v>774</v>
      </c>
      <c r="D20" s="19" t="s">
        <v>788</v>
      </c>
      <c r="E20" s="19" t="s">
        <v>776</v>
      </c>
      <c r="F20" s="19">
        <v>0</v>
      </c>
      <c r="G20" s="43">
        <v>15218.12</v>
      </c>
    </row>
    <row r="21" spans="1:7" x14ac:dyDescent="0.3">
      <c r="A21" s="19">
        <v>1471</v>
      </c>
      <c r="B21" s="19" t="s">
        <v>802</v>
      </c>
      <c r="C21" s="19" t="s">
        <v>781</v>
      </c>
      <c r="D21" s="19" t="s">
        <v>775</v>
      </c>
      <c r="E21" s="19" t="s">
        <v>776</v>
      </c>
      <c r="F21" s="19">
        <v>0.22600000000000001</v>
      </c>
      <c r="G21" s="43">
        <v>15.824999999999999</v>
      </c>
    </row>
    <row r="22" spans="1:7" x14ac:dyDescent="0.3">
      <c r="A22" s="19">
        <v>1360</v>
      </c>
      <c r="B22" s="19" t="s">
        <v>803</v>
      </c>
      <c r="C22" s="19" t="s">
        <v>774</v>
      </c>
      <c r="D22" s="19" t="s">
        <v>775</v>
      </c>
      <c r="E22" s="19" t="s">
        <v>776</v>
      </c>
      <c r="F22" s="19">
        <v>0.22600000000000001</v>
      </c>
      <c r="G22" s="43">
        <v>64884</v>
      </c>
    </row>
    <row r="23" spans="1:7" x14ac:dyDescent="0.3">
      <c r="A23" s="19">
        <v>1472</v>
      </c>
      <c r="B23" s="19" t="s">
        <v>804</v>
      </c>
      <c r="C23" s="19" t="s">
        <v>774</v>
      </c>
      <c r="D23" s="19" t="s">
        <v>788</v>
      </c>
      <c r="E23" s="19" t="s">
        <v>776</v>
      </c>
      <c r="F23" s="19">
        <v>0</v>
      </c>
      <c r="G23" s="43">
        <v>18000</v>
      </c>
    </row>
    <row r="24" spans="1:7" x14ac:dyDescent="0.3">
      <c r="A24" s="19">
        <v>588</v>
      </c>
      <c r="B24" s="19" t="s">
        <v>805</v>
      </c>
      <c r="C24" s="19" t="s">
        <v>774</v>
      </c>
      <c r="D24" s="19" t="s">
        <v>775</v>
      </c>
      <c r="E24" s="19" t="s">
        <v>776</v>
      </c>
      <c r="F24" s="19">
        <v>0</v>
      </c>
      <c r="G24" s="43">
        <v>15127</v>
      </c>
    </row>
    <row r="25" spans="1:7" x14ac:dyDescent="0.3">
      <c r="A25" s="19">
        <v>1473</v>
      </c>
      <c r="B25" s="19" t="s">
        <v>806</v>
      </c>
      <c r="C25" s="19" t="s">
        <v>807</v>
      </c>
      <c r="D25" s="19" t="s">
        <v>808</v>
      </c>
      <c r="E25" s="19" t="s">
        <v>776</v>
      </c>
      <c r="F25" s="19">
        <v>0</v>
      </c>
      <c r="G25" s="43">
        <v>3500</v>
      </c>
    </row>
    <row r="26" spans="1:7" x14ac:dyDescent="0.3">
      <c r="A26" s="19">
        <v>1474</v>
      </c>
      <c r="B26" s="19" t="s">
        <v>809</v>
      </c>
      <c r="C26" s="19" t="s">
        <v>774</v>
      </c>
      <c r="D26" s="19" t="s">
        <v>775</v>
      </c>
      <c r="E26" s="19" t="s">
        <v>776</v>
      </c>
      <c r="F26" s="19">
        <v>0</v>
      </c>
      <c r="G26" s="43">
        <v>27100</v>
      </c>
    </row>
    <row r="27" spans="1:7" x14ac:dyDescent="0.3">
      <c r="A27" s="19">
        <v>1475</v>
      </c>
      <c r="B27" s="19" t="s">
        <v>810</v>
      </c>
      <c r="C27" s="19" t="s">
        <v>774</v>
      </c>
      <c r="D27" s="19" t="s">
        <v>775</v>
      </c>
      <c r="E27" s="19" t="s">
        <v>776</v>
      </c>
      <c r="F27" s="19">
        <v>0</v>
      </c>
      <c r="G27" s="43">
        <v>2568.83</v>
      </c>
    </row>
    <row r="28" spans="1:7" x14ac:dyDescent="0.3">
      <c r="A28" s="19">
        <v>590</v>
      </c>
      <c r="B28" s="19" t="s">
        <v>811</v>
      </c>
      <c r="C28" s="19" t="s">
        <v>812</v>
      </c>
      <c r="D28" s="19" t="s">
        <v>775</v>
      </c>
      <c r="E28" s="19" t="s">
        <v>776</v>
      </c>
      <c r="F28" s="19">
        <v>0.113</v>
      </c>
      <c r="G28" s="43">
        <v>22</v>
      </c>
    </row>
    <row r="29" spans="1:7" x14ac:dyDescent="0.3">
      <c r="A29" s="19">
        <v>205</v>
      </c>
      <c r="B29" s="19" t="s">
        <v>813</v>
      </c>
      <c r="C29" s="19" t="s">
        <v>774</v>
      </c>
      <c r="D29" s="19" t="s">
        <v>814</v>
      </c>
      <c r="E29" s="19" t="s">
        <v>815</v>
      </c>
      <c r="F29" s="19">
        <v>0.113</v>
      </c>
      <c r="G29" s="43">
        <v>30882.54</v>
      </c>
    </row>
    <row r="30" spans="1:7" x14ac:dyDescent="0.3">
      <c r="A30" s="19">
        <v>1248</v>
      </c>
      <c r="B30" s="19" t="s">
        <v>816</v>
      </c>
      <c r="C30" s="19" t="s">
        <v>774</v>
      </c>
      <c r="D30" s="19" t="s">
        <v>775</v>
      </c>
      <c r="E30" s="19" t="s">
        <v>776</v>
      </c>
      <c r="F30" s="19">
        <v>0</v>
      </c>
      <c r="G30" s="43">
        <v>61526</v>
      </c>
    </row>
    <row r="31" spans="1:7" x14ac:dyDescent="0.3">
      <c r="A31" s="19">
        <v>1476</v>
      </c>
      <c r="B31" s="19" t="s">
        <v>817</v>
      </c>
      <c r="C31" s="19" t="s">
        <v>774</v>
      </c>
      <c r="D31" s="19" t="s">
        <v>788</v>
      </c>
      <c r="E31" s="19" t="s">
        <v>815</v>
      </c>
      <c r="F31" s="19">
        <v>1</v>
      </c>
      <c r="G31" s="43">
        <v>2528.1999999999998</v>
      </c>
    </row>
    <row r="32" spans="1:7" x14ac:dyDescent="0.3">
      <c r="A32" s="19">
        <v>2924</v>
      </c>
      <c r="B32" s="19" t="s">
        <v>818</v>
      </c>
      <c r="C32" s="19" t="s">
        <v>781</v>
      </c>
      <c r="D32" s="19" t="s">
        <v>819</v>
      </c>
      <c r="E32" s="19" t="s">
        <v>776</v>
      </c>
      <c r="F32" s="19">
        <v>0</v>
      </c>
      <c r="G32" s="43">
        <v>8.76</v>
      </c>
    </row>
    <row r="33" spans="1:7" x14ac:dyDescent="0.3">
      <c r="A33" s="19">
        <v>1477</v>
      </c>
      <c r="B33" s="19" t="s">
        <v>820</v>
      </c>
      <c r="C33" s="19" t="s">
        <v>774</v>
      </c>
      <c r="D33" s="19" t="s">
        <v>775</v>
      </c>
      <c r="E33" s="19" t="s">
        <v>776</v>
      </c>
      <c r="F33" s="19">
        <v>0</v>
      </c>
      <c r="G33" s="43">
        <v>2465.2800000000002</v>
      </c>
    </row>
    <row r="34" spans="1:7" x14ac:dyDescent="0.3">
      <c r="A34" s="19">
        <v>593</v>
      </c>
      <c r="B34" s="19" t="s">
        <v>821</v>
      </c>
      <c r="C34" s="19" t="s">
        <v>774</v>
      </c>
      <c r="D34" s="19" t="s">
        <v>794</v>
      </c>
      <c r="E34" s="19" t="s">
        <v>776</v>
      </c>
      <c r="F34" s="19">
        <v>1</v>
      </c>
      <c r="G34" s="43">
        <v>1400</v>
      </c>
    </row>
    <row r="35" spans="1:7" x14ac:dyDescent="0.3">
      <c r="A35" s="19">
        <v>1478</v>
      </c>
      <c r="B35" s="19" t="s">
        <v>822</v>
      </c>
      <c r="C35" s="19" t="s">
        <v>774</v>
      </c>
      <c r="D35" s="19" t="s">
        <v>775</v>
      </c>
      <c r="E35" s="19" t="s">
        <v>776</v>
      </c>
      <c r="F35" s="19">
        <v>0</v>
      </c>
      <c r="G35" s="43">
        <v>17392.97</v>
      </c>
    </row>
    <row r="36" spans="1:7" x14ac:dyDescent="0.3">
      <c r="A36" s="19">
        <v>1479</v>
      </c>
      <c r="B36" s="19" t="s">
        <v>823</v>
      </c>
      <c r="C36" s="19" t="s">
        <v>774</v>
      </c>
      <c r="D36" s="19" t="s">
        <v>775</v>
      </c>
      <c r="E36" s="19" t="s">
        <v>776</v>
      </c>
      <c r="F36" s="19">
        <v>0</v>
      </c>
      <c r="G36" s="43">
        <v>15381.32</v>
      </c>
    </row>
    <row r="37" spans="1:7" x14ac:dyDescent="0.3">
      <c r="A37" s="19">
        <v>1480</v>
      </c>
      <c r="B37" s="19" t="s">
        <v>824</v>
      </c>
      <c r="C37" s="19" t="s">
        <v>807</v>
      </c>
      <c r="D37" s="19" t="s">
        <v>808</v>
      </c>
      <c r="E37" s="19" t="s">
        <v>776</v>
      </c>
      <c r="F37" s="19">
        <v>0</v>
      </c>
      <c r="G37" s="43">
        <v>0.01</v>
      </c>
    </row>
    <row r="38" spans="1:7" x14ac:dyDescent="0.3">
      <c r="A38" s="19">
        <v>556</v>
      </c>
      <c r="B38" s="19" t="s">
        <v>825</v>
      </c>
      <c r="C38" s="19" t="s">
        <v>774</v>
      </c>
      <c r="D38" s="19" t="s">
        <v>786</v>
      </c>
      <c r="E38" s="19" t="s">
        <v>776</v>
      </c>
      <c r="F38" s="19">
        <v>1</v>
      </c>
      <c r="G38" s="43">
        <v>1481.06</v>
      </c>
    </row>
    <row r="39" spans="1:7" x14ac:dyDescent="0.3">
      <c r="A39" s="19">
        <v>1249</v>
      </c>
      <c r="B39" s="19" t="s">
        <v>826</v>
      </c>
      <c r="C39" s="19" t="s">
        <v>774</v>
      </c>
      <c r="D39" s="19" t="s">
        <v>775</v>
      </c>
      <c r="E39" s="19" t="s">
        <v>776</v>
      </c>
      <c r="F39" s="19">
        <v>0</v>
      </c>
      <c r="G39" s="43">
        <v>82019</v>
      </c>
    </row>
    <row r="40" spans="1:7" x14ac:dyDescent="0.3">
      <c r="A40" s="19">
        <v>1482</v>
      </c>
      <c r="B40" s="19" t="s">
        <v>827</v>
      </c>
      <c r="C40" s="19" t="s">
        <v>774</v>
      </c>
      <c r="D40" s="19" t="s">
        <v>778</v>
      </c>
      <c r="E40" s="19" t="s">
        <v>776</v>
      </c>
      <c r="F40" s="19">
        <v>0</v>
      </c>
      <c r="G40" s="43">
        <v>20283.2</v>
      </c>
    </row>
    <row r="41" spans="1:7" x14ac:dyDescent="0.3">
      <c r="A41" s="19">
        <v>1483</v>
      </c>
      <c r="B41" s="19" t="s">
        <v>828</v>
      </c>
      <c r="C41" s="19" t="s">
        <v>774</v>
      </c>
      <c r="D41" s="19" t="s">
        <v>778</v>
      </c>
      <c r="E41" s="19" t="s">
        <v>776</v>
      </c>
      <c r="F41" s="19">
        <v>0</v>
      </c>
      <c r="G41" s="43">
        <v>15467.2</v>
      </c>
    </row>
    <row r="42" spans="1:7" x14ac:dyDescent="0.3">
      <c r="A42" s="19">
        <v>1250</v>
      </c>
      <c r="B42" s="19" t="s">
        <v>829</v>
      </c>
      <c r="C42" s="19" t="s">
        <v>774</v>
      </c>
      <c r="D42" s="19" t="s">
        <v>775</v>
      </c>
      <c r="E42" s="19" t="s">
        <v>776</v>
      </c>
      <c r="F42" s="19">
        <v>0</v>
      </c>
      <c r="G42" s="43">
        <v>20714</v>
      </c>
    </row>
    <row r="43" spans="1:7" x14ac:dyDescent="0.3">
      <c r="A43" s="19">
        <v>1484</v>
      </c>
      <c r="B43" s="19" t="s">
        <v>830</v>
      </c>
      <c r="C43" s="19" t="s">
        <v>781</v>
      </c>
      <c r="D43" s="19" t="s">
        <v>775</v>
      </c>
      <c r="E43" s="19" t="s">
        <v>776</v>
      </c>
      <c r="F43" s="19">
        <v>0</v>
      </c>
      <c r="G43" s="43">
        <v>10.02</v>
      </c>
    </row>
    <row r="44" spans="1:7" x14ac:dyDescent="0.3">
      <c r="A44" s="19">
        <v>1485</v>
      </c>
      <c r="B44" s="19" t="s">
        <v>831</v>
      </c>
      <c r="C44" s="19" t="s">
        <v>774</v>
      </c>
      <c r="D44" s="19" t="s">
        <v>788</v>
      </c>
      <c r="E44" s="19" t="s">
        <v>776</v>
      </c>
      <c r="F44" s="19">
        <v>0</v>
      </c>
      <c r="G44" s="43">
        <v>0</v>
      </c>
    </row>
    <row r="45" spans="1:7" x14ac:dyDescent="0.3">
      <c r="A45" s="19">
        <v>2923</v>
      </c>
      <c r="B45" s="19" t="s">
        <v>832</v>
      </c>
      <c r="C45" s="19" t="s">
        <v>781</v>
      </c>
      <c r="D45" s="19" t="s">
        <v>819</v>
      </c>
      <c r="E45" s="19" t="s">
        <v>776</v>
      </c>
      <c r="F45" s="19">
        <v>0</v>
      </c>
      <c r="G45" s="43">
        <v>8.76</v>
      </c>
    </row>
    <row r="46" spans="1:7" x14ac:dyDescent="0.3">
      <c r="A46" s="19">
        <v>1486</v>
      </c>
      <c r="B46" s="19" t="s">
        <v>833</v>
      </c>
      <c r="C46" s="19" t="s">
        <v>774</v>
      </c>
      <c r="D46" s="19" t="s">
        <v>775</v>
      </c>
      <c r="E46" s="19" t="s">
        <v>776</v>
      </c>
      <c r="F46" s="19">
        <v>0</v>
      </c>
      <c r="G46" s="43">
        <v>13302.65</v>
      </c>
    </row>
    <row r="47" spans="1:7" x14ac:dyDescent="0.3">
      <c r="A47" s="19">
        <v>339</v>
      </c>
      <c r="B47" s="19" t="s">
        <v>834</v>
      </c>
      <c r="C47" s="19" t="s">
        <v>774</v>
      </c>
      <c r="D47" s="19" t="s">
        <v>778</v>
      </c>
      <c r="E47" s="19" t="s">
        <v>776</v>
      </c>
      <c r="F47" s="19">
        <v>0</v>
      </c>
      <c r="G47" s="43">
        <v>1555.91</v>
      </c>
    </row>
    <row r="48" spans="1:7" x14ac:dyDescent="0.3">
      <c r="A48" s="19">
        <v>261</v>
      </c>
      <c r="B48" s="19" t="s">
        <v>835</v>
      </c>
      <c r="C48" s="19" t="s">
        <v>774</v>
      </c>
      <c r="D48" s="19" t="s">
        <v>778</v>
      </c>
      <c r="E48" s="19" t="s">
        <v>815</v>
      </c>
      <c r="F48" s="19">
        <v>0.113</v>
      </c>
      <c r="G48" s="43">
        <v>23546.73</v>
      </c>
    </row>
    <row r="49" spans="1:7" x14ac:dyDescent="0.3">
      <c r="A49" s="19">
        <v>3199</v>
      </c>
      <c r="B49" s="19" t="s">
        <v>836</v>
      </c>
      <c r="C49" s="19" t="s">
        <v>774</v>
      </c>
      <c r="D49" s="19" t="s">
        <v>775</v>
      </c>
      <c r="E49" s="19" t="s">
        <v>776</v>
      </c>
      <c r="F49" s="19">
        <v>0.45300000000000001</v>
      </c>
      <c r="G49" s="43">
        <v>9638.7999999999993</v>
      </c>
    </row>
    <row r="50" spans="1:7" x14ac:dyDescent="0.3">
      <c r="A50" s="19">
        <v>2792</v>
      </c>
      <c r="B50" s="19" t="s">
        <v>837</v>
      </c>
      <c r="C50" s="19" t="s">
        <v>807</v>
      </c>
      <c r="D50" s="19" t="s">
        <v>808</v>
      </c>
      <c r="E50" s="19" t="s">
        <v>776</v>
      </c>
      <c r="F50" s="19">
        <v>0</v>
      </c>
      <c r="G50" s="43">
        <v>1500</v>
      </c>
    </row>
    <row r="51" spans="1:7" x14ac:dyDescent="0.3">
      <c r="A51" s="19">
        <v>1488</v>
      </c>
      <c r="B51" s="19" t="s">
        <v>838</v>
      </c>
      <c r="C51" s="19" t="s">
        <v>774</v>
      </c>
      <c r="D51" s="19" t="s">
        <v>775</v>
      </c>
      <c r="E51" s="19" t="s">
        <v>776</v>
      </c>
      <c r="F51" s="19">
        <v>0</v>
      </c>
      <c r="G51" s="43">
        <v>4408</v>
      </c>
    </row>
    <row r="52" spans="1:7" x14ac:dyDescent="0.3">
      <c r="A52" s="19">
        <v>2044</v>
      </c>
      <c r="B52" s="19" t="s">
        <v>839</v>
      </c>
      <c r="C52" s="19" t="s">
        <v>774</v>
      </c>
      <c r="D52" s="19" t="s">
        <v>778</v>
      </c>
      <c r="E52" s="19" t="s">
        <v>776</v>
      </c>
      <c r="F52" s="19">
        <v>0.113</v>
      </c>
      <c r="G52" s="43">
        <v>7138.15</v>
      </c>
    </row>
    <row r="53" spans="1:7" x14ac:dyDescent="0.3">
      <c r="A53" s="19">
        <v>1251</v>
      </c>
      <c r="B53" s="19" t="s">
        <v>840</v>
      </c>
      <c r="C53" s="19" t="s">
        <v>812</v>
      </c>
      <c r="D53" s="19" t="s">
        <v>775</v>
      </c>
      <c r="E53" s="19" t="s">
        <v>776</v>
      </c>
      <c r="F53" s="19">
        <v>1</v>
      </c>
      <c r="G53" s="43">
        <v>59.21</v>
      </c>
    </row>
    <row r="54" spans="1:7" x14ac:dyDescent="0.3">
      <c r="A54" s="19">
        <v>1489</v>
      </c>
      <c r="B54" s="19" t="s">
        <v>841</v>
      </c>
      <c r="C54" s="19" t="s">
        <v>774</v>
      </c>
      <c r="D54" s="19" t="s">
        <v>775</v>
      </c>
      <c r="E54" s="19" t="s">
        <v>776</v>
      </c>
      <c r="F54" s="19">
        <v>0</v>
      </c>
      <c r="G54" s="43">
        <v>471.79</v>
      </c>
    </row>
    <row r="55" spans="1:7" x14ac:dyDescent="0.3">
      <c r="A55" s="19">
        <v>1490</v>
      </c>
      <c r="B55" s="19" t="s">
        <v>842</v>
      </c>
      <c r="C55" s="19" t="s">
        <v>807</v>
      </c>
      <c r="D55" s="19" t="s">
        <v>808</v>
      </c>
      <c r="E55" s="19" t="s">
        <v>776</v>
      </c>
      <c r="F55" s="19">
        <v>0</v>
      </c>
      <c r="G55" s="43">
        <v>2500</v>
      </c>
    </row>
    <row r="56" spans="1:7" x14ac:dyDescent="0.3">
      <c r="A56" s="19">
        <v>1491</v>
      </c>
      <c r="B56" s="19" t="s">
        <v>843</v>
      </c>
      <c r="C56" s="19" t="s">
        <v>807</v>
      </c>
      <c r="D56" s="19" t="s">
        <v>808</v>
      </c>
      <c r="E56" s="19" t="s">
        <v>776</v>
      </c>
      <c r="F56" s="19">
        <v>0</v>
      </c>
      <c r="G56" s="43">
        <v>0</v>
      </c>
    </row>
    <row r="57" spans="1:7" x14ac:dyDescent="0.3">
      <c r="A57" s="19">
        <v>1492</v>
      </c>
      <c r="B57" s="19" t="s">
        <v>844</v>
      </c>
      <c r="C57" s="19" t="s">
        <v>774</v>
      </c>
      <c r="D57" s="19" t="s">
        <v>775</v>
      </c>
      <c r="E57" s="19" t="s">
        <v>776</v>
      </c>
      <c r="F57" s="19">
        <v>0</v>
      </c>
      <c r="G57" s="43">
        <v>11500</v>
      </c>
    </row>
    <row r="58" spans="1:7" x14ac:dyDescent="0.3">
      <c r="A58" s="19">
        <v>1493</v>
      </c>
      <c r="B58" s="19" t="s">
        <v>845</v>
      </c>
      <c r="C58" s="19" t="s">
        <v>774</v>
      </c>
      <c r="D58" s="19" t="s">
        <v>775</v>
      </c>
      <c r="E58" s="19" t="s">
        <v>776</v>
      </c>
      <c r="F58" s="19">
        <v>0</v>
      </c>
      <c r="G58" s="43">
        <v>4400.76</v>
      </c>
    </row>
    <row r="59" spans="1:7" x14ac:dyDescent="0.3">
      <c r="A59" s="19">
        <v>429</v>
      </c>
      <c r="B59" s="19" t="s">
        <v>846</v>
      </c>
      <c r="C59" s="19" t="s">
        <v>774</v>
      </c>
      <c r="D59" s="19" t="s">
        <v>847</v>
      </c>
      <c r="E59" s="19" t="s">
        <v>815</v>
      </c>
      <c r="F59" s="19">
        <v>0</v>
      </c>
      <c r="G59" s="43">
        <v>10.5</v>
      </c>
    </row>
    <row r="60" spans="1:7" x14ac:dyDescent="0.3">
      <c r="A60" s="19">
        <v>1064</v>
      </c>
      <c r="B60" s="19" t="s">
        <v>848</v>
      </c>
      <c r="C60" s="19" t="s">
        <v>849</v>
      </c>
      <c r="D60" s="19" t="s">
        <v>850</v>
      </c>
      <c r="E60" s="19" t="s">
        <v>815</v>
      </c>
      <c r="F60" s="19">
        <v>0</v>
      </c>
      <c r="G60" s="43">
        <v>149.5</v>
      </c>
    </row>
    <row r="61" spans="1:7" x14ac:dyDescent="0.3">
      <c r="A61" s="19">
        <v>18</v>
      </c>
      <c r="B61" s="19" t="s">
        <v>851</v>
      </c>
      <c r="C61" s="19" t="s">
        <v>849</v>
      </c>
      <c r="D61" s="19" t="s">
        <v>852</v>
      </c>
      <c r="E61" s="19" t="s">
        <v>815</v>
      </c>
      <c r="F61" s="19">
        <v>0</v>
      </c>
      <c r="G61" s="43">
        <v>81.5</v>
      </c>
    </row>
    <row r="62" spans="1:7" x14ac:dyDescent="0.3">
      <c r="A62" s="19">
        <v>3051</v>
      </c>
      <c r="B62" s="19" t="s">
        <v>853</v>
      </c>
      <c r="C62" s="19" t="s">
        <v>807</v>
      </c>
      <c r="D62" s="19" t="s">
        <v>854</v>
      </c>
      <c r="E62" s="19" t="s">
        <v>815</v>
      </c>
      <c r="F62" s="19">
        <v>0</v>
      </c>
      <c r="G62" s="43">
        <v>0</v>
      </c>
    </row>
    <row r="63" spans="1:7" x14ac:dyDescent="0.3">
      <c r="A63" s="19">
        <v>28</v>
      </c>
      <c r="B63" s="19" t="s">
        <v>855</v>
      </c>
      <c r="C63" s="19" t="s">
        <v>856</v>
      </c>
      <c r="D63" s="19" t="s">
        <v>857</v>
      </c>
      <c r="E63" s="19" t="s">
        <v>815</v>
      </c>
      <c r="F63" s="19">
        <v>0</v>
      </c>
      <c r="G63" s="43">
        <v>46.44</v>
      </c>
    </row>
    <row r="64" spans="1:7" x14ac:dyDescent="0.3">
      <c r="A64" s="19">
        <v>3966</v>
      </c>
      <c r="B64" s="19" t="s">
        <v>858</v>
      </c>
      <c r="C64" s="19" t="s">
        <v>774</v>
      </c>
      <c r="D64" s="19" t="s">
        <v>859</v>
      </c>
      <c r="E64" s="19" t="s">
        <v>815</v>
      </c>
      <c r="F64" s="19">
        <v>0</v>
      </c>
      <c r="G64" s="43">
        <v>11.35</v>
      </c>
    </row>
    <row r="65" spans="1:7" x14ac:dyDescent="0.3">
      <c r="A65" s="19">
        <v>3123</v>
      </c>
      <c r="B65" s="19" t="s">
        <v>860</v>
      </c>
      <c r="C65" s="19" t="s">
        <v>781</v>
      </c>
      <c r="D65" s="19" t="s">
        <v>783</v>
      </c>
      <c r="E65" s="19" t="s">
        <v>815</v>
      </c>
      <c r="F65" s="19">
        <v>0</v>
      </c>
      <c r="G65" s="43">
        <v>0</v>
      </c>
    </row>
    <row r="66" spans="1:7" x14ac:dyDescent="0.3">
      <c r="A66" s="19">
        <v>1494</v>
      </c>
      <c r="B66" s="19" t="s">
        <v>861</v>
      </c>
      <c r="C66" s="19" t="s">
        <v>774</v>
      </c>
      <c r="D66" s="19" t="s">
        <v>862</v>
      </c>
      <c r="E66" s="19" t="s">
        <v>863</v>
      </c>
      <c r="F66" s="19">
        <v>0</v>
      </c>
      <c r="G66" s="43">
        <v>1.85</v>
      </c>
    </row>
    <row r="67" spans="1:7" x14ac:dyDescent="0.3">
      <c r="A67" s="19">
        <v>1495</v>
      </c>
      <c r="B67" s="19" t="s">
        <v>864</v>
      </c>
      <c r="C67" s="19" t="s">
        <v>774</v>
      </c>
      <c r="D67" s="19" t="s">
        <v>862</v>
      </c>
      <c r="E67" s="19" t="s">
        <v>863</v>
      </c>
      <c r="F67" s="19">
        <v>0</v>
      </c>
      <c r="G67" s="43">
        <v>2.2599999999999998</v>
      </c>
    </row>
    <row r="68" spans="1:7" x14ac:dyDescent="0.3">
      <c r="A68" s="19">
        <v>1496</v>
      </c>
      <c r="B68" s="19" t="s">
        <v>865</v>
      </c>
      <c r="C68" s="19" t="s">
        <v>774</v>
      </c>
      <c r="D68" s="19" t="s">
        <v>862</v>
      </c>
      <c r="E68" s="19" t="s">
        <v>863</v>
      </c>
      <c r="F68" s="19">
        <v>0</v>
      </c>
      <c r="G68" s="43">
        <v>5.5</v>
      </c>
    </row>
    <row r="69" spans="1:7" x14ac:dyDescent="0.3">
      <c r="A69" s="19">
        <v>1497</v>
      </c>
      <c r="B69" s="19" t="s">
        <v>866</v>
      </c>
      <c r="C69" s="19" t="s">
        <v>774</v>
      </c>
      <c r="D69" s="19" t="s">
        <v>862</v>
      </c>
      <c r="E69" s="19" t="s">
        <v>863</v>
      </c>
      <c r="F69" s="19">
        <v>0</v>
      </c>
      <c r="G69" s="43">
        <v>2.1</v>
      </c>
    </row>
    <row r="70" spans="1:7" x14ac:dyDescent="0.3">
      <c r="A70" s="19">
        <v>1498</v>
      </c>
      <c r="B70" s="19" t="s">
        <v>867</v>
      </c>
      <c r="C70" s="19" t="s">
        <v>774</v>
      </c>
      <c r="D70" s="19" t="s">
        <v>862</v>
      </c>
      <c r="E70" s="19" t="s">
        <v>863</v>
      </c>
      <c r="F70" s="19">
        <v>0</v>
      </c>
      <c r="G70" s="43">
        <v>1.46</v>
      </c>
    </row>
    <row r="71" spans="1:7" x14ac:dyDescent="0.3">
      <c r="A71" s="19">
        <v>1499</v>
      </c>
      <c r="B71" s="19" t="s">
        <v>868</v>
      </c>
      <c r="C71" s="19" t="s">
        <v>774</v>
      </c>
      <c r="D71" s="19" t="s">
        <v>862</v>
      </c>
      <c r="E71" s="19" t="s">
        <v>863</v>
      </c>
      <c r="F71" s="19">
        <v>0</v>
      </c>
      <c r="G71" s="43">
        <v>5.5</v>
      </c>
    </row>
    <row r="72" spans="1:7" x14ac:dyDescent="0.3">
      <c r="A72" s="19">
        <v>993</v>
      </c>
      <c r="B72" s="19" t="s">
        <v>869</v>
      </c>
      <c r="C72" s="19" t="s">
        <v>807</v>
      </c>
      <c r="D72" s="19" t="s">
        <v>808</v>
      </c>
      <c r="E72" s="19" t="s">
        <v>815</v>
      </c>
      <c r="F72" s="19">
        <v>0</v>
      </c>
      <c r="G72" s="43">
        <v>1500</v>
      </c>
    </row>
    <row r="73" spans="1:7" x14ac:dyDescent="0.3">
      <c r="A73" s="19">
        <v>992</v>
      </c>
      <c r="B73" s="19" t="s">
        <v>870</v>
      </c>
      <c r="C73" s="19" t="s">
        <v>807</v>
      </c>
      <c r="D73" s="19" t="s">
        <v>808</v>
      </c>
      <c r="E73" s="19" t="s">
        <v>815</v>
      </c>
      <c r="F73" s="19">
        <v>0</v>
      </c>
      <c r="G73" s="43">
        <v>2000</v>
      </c>
    </row>
    <row r="74" spans="1:7" x14ac:dyDescent="0.3">
      <c r="A74" s="19">
        <v>1825</v>
      </c>
      <c r="B74" s="19" t="s">
        <v>871</v>
      </c>
      <c r="C74" s="19" t="s">
        <v>807</v>
      </c>
      <c r="D74" s="19" t="s">
        <v>808</v>
      </c>
      <c r="E74" s="19" t="s">
        <v>815</v>
      </c>
      <c r="F74" s="19">
        <v>0</v>
      </c>
      <c r="G74" s="43">
        <v>0</v>
      </c>
    </row>
    <row r="75" spans="1:7" x14ac:dyDescent="0.3">
      <c r="A75" s="19">
        <v>994</v>
      </c>
      <c r="B75" s="19" t="s">
        <v>872</v>
      </c>
      <c r="C75" s="19" t="s">
        <v>807</v>
      </c>
      <c r="D75" s="19" t="s">
        <v>808</v>
      </c>
      <c r="E75" s="19" t="s">
        <v>815</v>
      </c>
      <c r="F75" s="19">
        <v>0</v>
      </c>
      <c r="G75" s="43">
        <v>3000</v>
      </c>
    </row>
    <row r="76" spans="1:7" x14ac:dyDescent="0.3">
      <c r="A76" s="19">
        <v>3544</v>
      </c>
      <c r="B76" s="19" t="s">
        <v>873</v>
      </c>
      <c r="C76" s="19" t="s">
        <v>774</v>
      </c>
      <c r="D76" s="19" t="s">
        <v>808</v>
      </c>
      <c r="E76" s="19" t="s">
        <v>815</v>
      </c>
      <c r="F76" s="19">
        <v>0</v>
      </c>
      <c r="G76" s="43">
        <v>70</v>
      </c>
    </row>
    <row r="77" spans="1:7" x14ac:dyDescent="0.3">
      <c r="A77" s="19">
        <v>2935</v>
      </c>
      <c r="B77" s="19" t="s">
        <v>874</v>
      </c>
      <c r="C77" s="19" t="s">
        <v>807</v>
      </c>
      <c r="D77" s="19" t="s">
        <v>808</v>
      </c>
      <c r="E77" s="19" t="s">
        <v>815</v>
      </c>
      <c r="F77" s="19">
        <v>0</v>
      </c>
      <c r="G77" s="43">
        <v>2000</v>
      </c>
    </row>
    <row r="78" spans="1:7" x14ac:dyDescent="0.3">
      <c r="A78" s="19">
        <v>1850</v>
      </c>
      <c r="B78" s="19" t="s">
        <v>875</v>
      </c>
      <c r="C78" s="19" t="s">
        <v>807</v>
      </c>
      <c r="D78" s="19" t="s">
        <v>876</v>
      </c>
      <c r="E78" s="19" t="s">
        <v>877</v>
      </c>
      <c r="F78" s="19">
        <v>0</v>
      </c>
      <c r="G78" s="43">
        <v>50</v>
      </c>
    </row>
    <row r="79" spans="1:7" x14ac:dyDescent="0.3">
      <c r="A79" s="19">
        <v>1500</v>
      </c>
      <c r="B79" s="19" t="s">
        <v>878</v>
      </c>
      <c r="C79" s="19" t="s">
        <v>774</v>
      </c>
      <c r="D79" s="19" t="s">
        <v>778</v>
      </c>
      <c r="E79" s="19" t="s">
        <v>879</v>
      </c>
      <c r="F79" s="19">
        <v>0</v>
      </c>
      <c r="G79" s="43">
        <v>0.43</v>
      </c>
    </row>
    <row r="80" spans="1:7" x14ac:dyDescent="0.3">
      <c r="A80" s="19">
        <v>273</v>
      </c>
      <c r="B80" s="19" t="s">
        <v>880</v>
      </c>
      <c r="C80" s="19" t="s">
        <v>774</v>
      </c>
      <c r="D80" s="19" t="s">
        <v>778</v>
      </c>
      <c r="E80" s="19" t="s">
        <v>879</v>
      </c>
      <c r="F80" s="19">
        <v>0</v>
      </c>
      <c r="G80" s="43">
        <v>1820.85</v>
      </c>
    </row>
    <row r="81" spans="1:7" x14ac:dyDescent="0.3">
      <c r="A81" s="19">
        <v>734</v>
      </c>
      <c r="B81" s="19" t="s">
        <v>881</v>
      </c>
      <c r="C81" s="19" t="s">
        <v>774</v>
      </c>
      <c r="D81" s="19" t="s">
        <v>778</v>
      </c>
      <c r="E81" s="19" t="s">
        <v>882</v>
      </c>
      <c r="F81" s="19">
        <v>0</v>
      </c>
      <c r="G81" s="43">
        <v>1360.39</v>
      </c>
    </row>
    <row r="82" spans="1:7" x14ac:dyDescent="0.3">
      <c r="A82" s="19">
        <v>733</v>
      </c>
      <c r="B82" s="19" t="s">
        <v>883</v>
      </c>
      <c r="C82" s="19" t="s">
        <v>774</v>
      </c>
      <c r="D82" s="19" t="s">
        <v>778</v>
      </c>
      <c r="E82" s="19" t="s">
        <v>879</v>
      </c>
      <c r="F82" s="19">
        <v>0</v>
      </c>
      <c r="G82" s="43">
        <v>1574.41</v>
      </c>
    </row>
    <row r="83" spans="1:7" x14ac:dyDescent="0.3">
      <c r="A83" s="19">
        <v>732</v>
      </c>
      <c r="B83" s="19" t="s">
        <v>884</v>
      </c>
      <c r="C83" s="19" t="s">
        <v>774</v>
      </c>
      <c r="D83" s="19" t="s">
        <v>778</v>
      </c>
      <c r="E83" s="19" t="s">
        <v>879</v>
      </c>
      <c r="F83" s="19">
        <v>0</v>
      </c>
      <c r="G83" s="43">
        <v>2234.54</v>
      </c>
    </row>
    <row r="84" spans="1:7" x14ac:dyDescent="0.3">
      <c r="A84" s="19">
        <v>737</v>
      </c>
      <c r="B84" s="19" t="s">
        <v>885</v>
      </c>
      <c r="C84" s="19" t="s">
        <v>774</v>
      </c>
      <c r="D84" s="19" t="s">
        <v>778</v>
      </c>
      <c r="E84" s="19" t="s">
        <v>815</v>
      </c>
      <c r="F84" s="19">
        <v>0</v>
      </c>
      <c r="G84" s="43">
        <v>3184.86</v>
      </c>
    </row>
    <row r="85" spans="1:7" x14ac:dyDescent="0.3">
      <c r="A85" s="19">
        <v>2527</v>
      </c>
      <c r="B85" s="19" t="s">
        <v>886</v>
      </c>
      <c r="C85" s="19" t="s">
        <v>774</v>
      </c>
      <c r="D85" s="19" t="s">
        <v>778</v>
      </c>
      <c r="E85" s="19" t="s">
        <v>879</v>
      </c>
      <c r="F85" s="19">
        <v>0</v>
      </c>
      <c r="G85" s="43">
        <v>0.08</v>
      </c>
    </row>
    <row r="86" spans="1:7" x14ac:dyDescent="0.3">
      <c r="A86" s="19">
        <v>1501</v>
      </c>
      <c r="B86" s="19" t="s">
        <v>887</v>
      </c>
      <c r="C86" s="19" t="s">
        <v>774</v>
      </c>
      <c r="D86" s="19" t="s">
        <v>778</v>
      </c>
      <c r="E86" s="19" t="s">
        <v>879</v>
      </c>
      <c r="F86" s="19">
        <v>0</v>
      </c>
      <c r="G86" s="43">
        <v>2147.4</v>
      </c>
    </row>
    <row r="87" spans="1:7" x14ac:dyDescent="0.3">
      <c r="A87" s="19">
        <v>276</v>
      </c>
      <c r="B87" s="19" t="s">
        <v>888</v>
      </c>
      <c r="C87" s="19" t="s">
        <v>774</v>
      </c>
      <c r="D87" s="19" t="s">
        <v>778</v>
      </c>
      <c r="E87" s="19" t="s">
        <v>815</v>
      </c>
      <c r="F87" s="19">
        <v>0</v>
      </c>
      <c r="G87" s="43">
        <v>3357.55</v>
      </c>
    </row>
    <row r="88" spans="1:7" x14ac:dyDescent="0.3">
      <c r="A88" s="19">
        <v>285</v>
      </c>
      <c r="B88" s="19" t="s">
        <v>889</v>
      </c>
      <c r="C88" s="19" t="s">
        <v>774</v>
      </c>
      <c r="D88" s="19" t="s">
        <v>778</v>
      </c>
      <c r="E88" s="19" t="s">
        <v>879</v>
      </c>
      <c r="F88" s="19">
        <v>0</v>
      </c>
      <c r="G88" s="43">
        <v>1968.69</v>
      </c>
    </row>
    <row r="89" spans="1:7" x14ac:dyDescent="0.3">
      <c r="A89" s="19">
        <v>275</v>
      </c>
      <c r="B89" s="19" t="s">
        <v>890</v>
      </c>
      <c r="C89" s="19" t="s">
        <v>774</v>
      </c>
      <c r="D89" s="19" t="s">
        <v>778</v>
      </c>
      <c r="E89" s="19" t="s">
        <v>879</v>
      </c>
      <c r="F89" s="19">
        <v>0</v>
      </c>
      <c r="G89" s="43">
        <v>1755.22</v>
      </c>
    </row>
    <row r="90" spans="1:7" x14ac:dyDescent="0.3">
      <c r="A90" s="19">
        <v>715</v>
      </c>
      <c r="B90" s="19" t="s">
        <v>891</v>
      </c>
      <c r="C90" s="19" t="s">
        <v>774</v>
      </c>
      <c r="D90" s="19" t="s">
        <v>778</v>
      </c>
      <c r="E90" s="19" t="s">
        <v>815</v>
      </c>
      <c r="F90" s="19">
        <v>0</v>
      </c>
      <c r="G90" s="43">
        <v>1907.48</v>
      </c>
    </row>
    <row r="91" spans="1:7" x14ac:dyDescent="0.3">
      <c r="A91" s="19">
        <v>274</v>
      </c>
      <c r="B91" s="19" t="s">
        <v>892</v>
      </c>
      <c r="C91" s="19" t="s">
        <v>774</v>
      </c>
      <c r="D91" s="19" t="s">
        <v>778</v>
      </c>
      <c r="E91" s="19" t="s">
        <v>879</v>
      </c>
      <c r="F91" s="19">
        <v>0</v>
      </c>
      <c r="G91" s="43">
        <v>6584.82</v>
      </c>
    </row>
    <row r="92" spans="1:7" x14ac:dyDescent="0.3">
      <c r="A92" s="19">
        <v>735</v>
      </c>
      <c r="B92" s="19" t="s">
        <v>893</v>
      </c>
      <c r="C92" s="19" t="s">
        <v>774</v>
      </c>
      <c r="D92" s="19" t="s">
        <v>778</v>
      </c>
      <c r="E92" s="19" t="s">
        <v>879</v>
      </c>
      <c r="F92" s="19">
        <v>0</v>
      </c>
      <c r="G92" s="43">
        <v>3940.32</v>
      </c>
    </row>
    <row r="93" spans="1:7" x14ac:dyDescent="0.3">
      <c r="A93" s="19">
        <v>284</v>
      </c>
      <c r="B93" s="19" t="s">
        <v>894</v>
      </c>
      <c r="C93" s="19" t="s">
        <v>774</v>
      </c>
      <c r="D93" s="19" t="s">
        <v>778</v>
      </c>
      <c r="E93" s="19" t="s">
        <v>879</v>
      </c>
      <c r="F93" s="19">
        <v>0</v>
      </c>
      <c r="G93" s="43">
        <v>1968.69</v>
      </c>
    </row>
    <row r="94" spans="1:7" x14ac:dyDescent="0.3">
      <c r="A94" s="19">
        <v>259</v>
      </c>
      <c r="B94" s="19" t="s">
        <v>895</v>
      </c>
      <c r="C94" s="19" t="s">
        <v>774</v>
      </c>
      <c r="D94" s="19" t="s">
        <v>778</v>
      </c>
      <c r="E94" s="19" t="s">
        <v>879</v>
      </c>
      <c r="F94" s="19">
        <v>0</v>
      </c>
      <c r="G94" s="43">
        <v>586.39</v>
      </c>
    </row>
    <row r="95" spans="1:7" x14ac:dyDescent="0.3">
      <c r="A95" s="19">
        <v>741</v>
      </c>
      <c r="B95" s="19" t="s">
        <v>896</v>
      </c>
      <c r="C95" s="19" t="s">
        <v>774</v>
      </c>
      <c r="D95" s="19" t="s">
        <v>778</v>
      </c>
      <c r="E95" s="19" t="s">
        <v>897</v>
      </c>
      <c r="F95" s="19">
        <v>0</v>
      </c>
      <c r="G95" s="43">
        <v>1908.96</v>
      </c>
    </row>
    <row r="96" spans="1:7" x14ac:dyDescent="0.3">
      <c r="A96" s="19">
        <v>1134</v>
      </c>
      <c r="B96" s="19" t="s">
        <v>898</v>
      </c>
      <c r="C96" s="19" t="s">
        <v>899</v>
      </c>
      <c r="D96" s="19" t="s">
        <v>900</v>
      </c>
      <c r="E96" s="19" t="s">
        <v>901</v>
      </c>
      <c r="F96" s="19">
        <v>0</v>
      </c>
      <c r="G96" s="43">
        <v>1.6</v>
      </c>
    </row>
    <row r="97" spans="1:7" x14ac:dyDescent="0.3">
      <c r="A97" s="19">
        <v>1625</v>
      </c>
      <c r="B97" s="19" t="s">
        <v>902</v>
      </c>
      <c r="C97" s="19" t="s">
        <v>899</v>
      </c>
      <c r="D97" s="19" t="s">
        <v>900</v>
      </c>
      <c r="E97" s="19" t="s">
        <v>901</v>
      </c>
      <c r="F97" s="19">
        <v>0</v>
      </c>
      <c r="G97" s="43">
        <v>1.6</v>
      </c>
    </row>
    <row r="98" spans="1:7" x14ac:dyDescent="0.3">
      <c r="A98" s="19">
        <v>50</v>
      </c>
      <c r="B98" s="19" t="s">
        <v>903</v>
      </c>
      <c r="C98" s="19" t="s">
        <v>899</v>
      </c>
      <c r="D98" s="19" t="s">
        <v>900</v>
      </c>
      <c r="E98" s="19" t="s">
        <v>901</v>
      </c>
      <c r="F98" s="19">
        <v>0</v>
      </c>
      <c r="G98" s="43">
        <v>1.6</v>
      </c>
    </row>
    <row r="99" spans="1:7" x14ac:dyDescent="0.3">
      <c r="A99" s="19">
        <v>1135</v>
      </c>
      <c r="B99" s="19" t="s">
        <v>904</v>
      </c>
      <c r="C99" s="19" t="s">
        <v>899</v>
      </c>
      <c r="D99" s="19" t="s">
        <v>900</v>
      </c>
      <c r="E99" s="19" t="s">
        <v>901</v>
      </c>
      <c r="F99" s="19">
        <v>0</v>
      </c>
      <c r="G99" s="43">
        <v>1.6</v>
      </c>
    </row>
    <row r="100" spans="1:7" x14ac:dyDescent="0.3">
      <c r="A100" s="19">
        <v>51</v>
      </c>
      <c r="B100" s="19" t="s">
        <v>905</v>
      </c>
      <c r="C100" s="19" t="s">
        <v>899</v>
      </c>
      <c r="D100" s="19" t="s">
        <v>900</v>
      </c>
      <c r="E100" s="19" t="s">
        <v>901</v>
      </c>
      <c r="F100" s="19">
        <v>0</v>
      </c>
      <c r="G100" s="43">
        <v>1.6</v>
      </c>
    </row>
    <row r="101" spans="1:7" x14ac:dyDescent="0.3">
      <c r="A101" s="19">
        <v>1627</v>
      </c>
      <c r="B101" s="19" t="s">
        <v>906</v>
      </c>
      <c r="C101" s="19" t="s">
        <v>899</v>
      </c>
      <c r="D101" s="19" t="s">
        <v>900</v>
      </c>
      <c r="E101" s="19" t="s">
        <v>901</v>
      </c>
      <c r="F101" s="19">
        <v>0</v>
      </c>
      <c r="G101" s="43">
        <v>1.6</v>
      </c>
    </row>
    <row r="102" spans="1:7" x14ac:dyDescent="0.3">
      <c r="A102" s="19">
        <v>48</v>
      </c>
      <c r="B102" s="19" t="s">
        <v>907</v>
      </c>
      <c r="C102" s="19" t="s">
        <v>899</v>
      </c>
      <c r="D102" s="19" t="s">
        <v>900</v>
      </c>
      <c r="E102" s="19" t="s">
        <v>901</v>
      </c>
      <c r="F102" s="19">
        <v>0</v>
      </c>
      <c r="G102" s="43">
        <v>1.6</v>
      </c>
    </row>
    <row r="103" spans="1:7" x14ac:dyDescent="0.3">
      <c r="A103" s="19">
        <v>49</v>
      </c>
      <c r="B103" s="19" t="s">
        <v>908</v>
      </c>
      <c r="C103" s="19" t="s">
        <v>899</v>
      </c>
      <c r="D103" s="19" t="s">
        <v>900</v>
      </c>
      <c r="E103" s="19" t="s">
        <v>901</v>
      </c>
      <c r="F103" s="19">
        <v>0</v>
      </c>
      <c r="G103" s="43">
        <v>1.6</v>
      </c>
    </row>
    <row r="104" spans="1:7" x14ac:dyDescent="0.3">
      <c r="A104" s="19">
        <v>1624</v>
      </c>
      <c r="B104" s="19" t="s">
        <v>909</v>
      </c>
      <c r="C104" s="19" t="s">
        <v>899</v>
      </c>
      <c r="D104" s="19" t="s">
        <v>900</v>
      </c>
      <c r="E104" s="19" t="s">
        <v>901</v>
      </c>
      <c r="F104" s="19">
        <v>0</v>
      </c>
      <c r="G104" s="43">
        <v>1.6</v>
      </c>
    </row>
    <row r="105" spans="1:7" x14ac:dyDescent="0.3">
      <c r="A105" s="19">
        <v>1623</v>
      </c>
      <c r="B105" s="19" t="s">
        <v>910</v>
      </c>
      <c r="C105" s="19" t="s">
        <v>899</v>
      </c>
      <c r="D105" s="19" t="s">
        <v>900</v>
      </c>
      <c r="E105" s="19" t="s">
        <v>901</v>
      </c>
      <c r="F105" s="19">
        <v>0</v>
      </c>
      <c r="G105" s="43">
        <v>1.6</v>
      </c>
    </row>
    <row r="106" spans="1:7" x14ac:dyDescent="0.3">
      <c r="A106" s="19">
        <v>53</v>
      </c>
      <c r="B106" s="19" t="s">
        <v>911</v>
      </c>
      <c r="C106" s="19" t="s">
        <v>899</v>
      </c>
      <c r="D106" s="19" t="s">
        <v>900</v>
      </c>
      <c r="E106" s="19" t="s">
        <v>901</v>
      </c>
      <c r="F106" s="19">
        <v>0</v>
      </c>
      <c r="G106" s="43">
        <v>1.6</v>
      </c>
    </row>
    <row r="107" spans="1:7" x14ac:dyDescent="0.3">
      <c r="A107" s="19">
        <v>1626</v>
      </c>
      <c r="B107" s="19" t="s">
        <v>912</v>
      </c>
      <c r="C107" s="19" t="s">
        <v>899</v>
      </c>
      <c r="D107" s="19" t="s">
        <v>900</v>
      </c>
      <c r="E107" s="19" t="s">
        <v>901</v>
      </c>
      <c r="F107" s="19">
        <v>0</v>
      </c>
      <c r="G107" s="43">
        <v>1.6</v>
      </c>
    </row>
    <row r="108" spans="1:7" x14ac:dyDescent="0.3">
      <c r="A108" s="19">
        <v>54</v>
      </c>
      <c r="B108" s="19" t="s">
        <v>913</v>
      </c>
      <c r="C108" s="19" t="s">
        <v>899</v>
      </c>
      <c r="D108" s="19" t="s">
        <v>900</v>
      </c>
      <c r="E108" s="19" t="s">
        <v>901</v>
      </c>
      <c r="F108" s="19">
        <v>0</v>
      </c>
      <c r="G108" s="43">
        <v>1.6</v>
      </c>
    </row>
    <row r="109" spans="1:7" x14ac:dyDescent="0.3">
      <c r="A109" s="19">
        <v>52</v>
      </c>
      <c r="B109" s="19" t="s">
        <v>914</v>
      </c>
      <c r="C109" s="19" t="s">
        <v>899</v>
      </c>
      <c r="D109" s="19" t="s">
        <v>900</v>
      </c>
      <c r="E109" s="19" t="s">
        <v>901</v>
      </c>
      <c r="F109" s="19">
        <v>0</v>
      </c>
      <c r="G109" s="43">
        <v>1.6</v>
      </c>
    </row>
    <row r="110" spans="1:7" x14ac:dyDescent="0.3">
      <c r="A110" s="19">
        <v>55</v>
      </c>
      <c r="B110" s="19" t="s">
        <v>915</v>
      </c>
      <c r="C110" s="19" t="s">
        <v>899</v>
      </c>
      <c r="D110" s="19" t="s">
        <v>900</v>
      </c>
      <c r="E110" s="19" t="s">
        <v>901</v>
      </c>
      <c r="F110" s="19">
        <v>0</v>
      </c>
      <c r="G110" s="43">
        <v>1.6</v>
      </c>
    </row>
    <row r="111" spans="1:7" x14ac:dyDescent="0.3">
      <c r="A111" s="19">
        <v>1619</v>
      </c>
      <c r="B111" s="19" t="s">
        <v>916</v>
      </c>
      <c r="C111" s="19" t="s">
        <v>899</v>
      </c>
      <c r="D111" s="19" t="s">
        <v>900</v>
      </c>
      <c r="E111" s="19" t="s">
        <v>901</v>
      </c>
      <c r="F111" s="19">
        <v>0</v>
      </c>
      <c r="G111" s="43">
        <v>1.6</v>
      </c>
    </row>
    <row r="112" spans="1:7" x14ac:dyDescent="0.3">
      <c r="A112" s="19">
        <v>1137</v>
      </c>
      <c r="B112" s="19" t="s">
        <v>917</v>
      </c>
      <c r="C112" s="19" t="s">
        <v>899</v>
      </c>
      <c r="D112" s="19" t="s">
        <v>900</v>
      </c>
      <c r="E112" s="19" t="s">
        <v>901</v>
      </c>
      <c r="F112" s="19">
        <v>0</v>
      </c>
      <c r="G112" s="43">
        <v>1.6</v>
      </c>
    </row>
    <row r="113" spans="1:7" x14ac:dyDescent="0.3">
      <c r="A113" s="19">
        <v>56</v>
      </c>
      <c r="B113" s="19" t="s">
        <v>918</v>
      </c>
      <c r="C113" s="19" t="s">
        <v>899</v>
      </c>
      <c r="D113" s="19" t="s">
        <v>900</v>
      </c>
      <c r="E113" s="19" t="s">
        <v>901</v>
      </c>
      <c r="F113" s="19">
        <v>0</v>
      </c>
      <c r="G113" s="43">
        <v>1.6</v>
      </c>
    </row>
    <row r="114" spans="1:7" x14ac:dyDescent="0.3">
      <c r="A114" s="19">
        <v>525</v>
      </c>
      <c r="B114" s="19" t="s">
        <v>919</v>
      </c>
      <c r="C114" s="19" t="s">
        <v>899</v>
      </c>
      <c r="D114" s="19" t="s">
        <v>920</v>
      </c>
      <c r="E114" s="19" t="s">
        <v>815</v>
      </c>
      <c r="F114" s="19">
        <v>0</v>
      </c>
      <c r="G114" s="43">
        <v>0.77</v>
      </c>
    </row>
    <row r="115" spans="1:7" x14ac:dyDescent="0.3">
      <c r="A115" s="19">
        <v>2565</v>
      </c>
      <c r="B115" s="19" t="s">
        <v>921</v>
      </c>
      <c r="C115" s="19" t="s">
        <v>899</v>
      </c>
      <c r="D115" s="19" t="s">
        <v>900</v>
      </c>
      <c r="E115" s="19" t="s">
        <v>815</v>
      </c>
      <c r="F115" s="19">
        <v>0</v>
      </c>
      <c r="G115" s="43">
        <v>1.1499999999999999</v>
      </c>
    </row>
    <row r="116" spans="1:7" x14ac:dyDescent="0.3">
      <c r="A116" s="19">
        <v>2564</v>
      </c>
      <c r="B116" s="19" t="s">
        <v>922</v>
      </c>
      <c r="C116" s="19" t="s">
        <v>899</v>
      </c>
      <c r="D116" s="19" t="s">
        <v>900</v>
      </c>
      <c r="E116" s="19" t="s">
        <v>815</v>
      </c>
      <c r="F116" s="19">
        <v>0</v>
      </c>
      <c r="G116" s="43">
        <v>1.1499999999999999</v>
      </c>
    </row>
    <row r="117" spans="1:7" x14ac:dyDescent="0.3">
      <c r="A117" s="19">
        <v>2566</v>
      </c>
      <c r="B117" s="19" t="s">
        <v>923</v>
      </c>
      <c r="C117" s="19" t="s">
        <v>899</v>
      </c>
      <c r="D117" s="19" t="s">
        <v>900</v>
      </c>
      <c r="E117" s="19" t="s">
        <v>815</v>
      </c>
      <c r="F117" s="19">
        <v>0</v>
      </c>
      <c r="G117" s="43">
        <v>1.1499999999999999</v>
      </c>
    </row>
    <row r="118" spans="1:7" x14ac:dyDescent="0.3">
      <c r="A118" s="19">
        <v>2567</v>
      </c>
      <c r="B118" s="19" t="s">
        <v>924</v>
      </c>
      <c r="C118" s="19" t="s">
        <v>899</v>
      </c>
      <c r="D118" s="19" t="s">
        <v>900</v>
      </c>
      <c r="E118" s="19" t="s">
        <v>815</v>
      </c>
      <c r="F118" s="19">
        <v>0</v>
      </c>
      <c r="G118" s="43">
        <v>1.1499999999999999</v>
      </c>
    </row>
    <row r="119" spans="1:7" x14ac:dyDescent="0.3">
      <c r="A119" s="19">
        <v>789</v>
      </c>
      <c r="B119" s="19" t="s">
        <v>925</v>
      </c>
      <c r="C119" s="19" t="s">
        <v>899</v>
      </c>
      <c r="D119" s="19" t="s">
        <v>926</v>
      </c>
      <c r="E119" s="19" t="s">
        <v>901</v>
      </c>
      <c r="F119" s="19">
        <v>0</v>
      </c>
      <c r="G119" s="43">
        <v>5.41</v>
      </c>
    </row>
    <row r="120" spans="1:7" x14ac:dyDescent="0.3">
      <c r="A120" s="19">
        <v>375</v>
      </c>
      <c r="B120" s="19" t="s">
        <v>927</v>
      </c>
      <c r="C120" s="19" t="s">
        <v>899</v>
      </c>
      <c r="D120" s="19" t="s">
        <v>926</v>
      </c>
      <c r="E120" s="19" t="s">
        <v>901</v>
      </c>
      <c r="F120" s="19">
        <v>0</v>
      </c>
      <c r="G120" s="43">
        <v>6.58</v>
      </c>
    </row>
    <row r="121" spans="1:7" x14ac:dyDescent="0.3">
      <c r="A121" s="19">
        <v>1212</v>
      </c>
      <c r="B121" s="19" t="s">
        <v>928</v>
      </c>
      <c r="C121" s="19" t="s">
        <v>899</v>
      </c>
      <c r="D121" s="19" t="s">
        <v>926</v>
      </c>
      <c r="E121" s="19" t="s">
        <v>901</v>
      </c>
      <c r="F121" s="19">
        <v>0</v>
      </c>
      <c r="G121" s="43">
        <v>10.34</v>
      </c>
    </row>
    <row r="122" spans="1:7" x14ac:dyDescent="0.3">
      <c r="A122" s="19">
        <v>526</v>
      </c>
      <c r="B122" s="19" t="s">
        <v>929</v>
      </c>
      <c r="C122" s="19" t="s">
        <v>899</v>
      </c>
      <c r="D122" s="19" t="s">
        <v>920</v>
      </c>
      <c r="E122" s="19" t="s">
        <v>901</v>
      </c>
      <c r="F122" s="19">
        <v>0</v>
      </c>
      <c r="G122" s="43">
        <v>0.98</v>
      </c>
    </row>
    <row r="123" spans="1:7" x14ac:dyDescent="0.3">
      <c r="A123" s="19">
        <v>403</v>
      </c>
      <c r="B123" s="19" t="s">
        <v>930</v>
      </c>
      <c r="C123" s="19" t="s">
        <v>899</v>
      </c>
      <c r="D123" s="19" t="s">
        <v>931</v>
      </c>
      <c r="E123" s="19" t="s">
        <v>932</v>
      </c>
      <c r="F123" s="19">
        <v>0</v>
      </c>
      <c r="G123" s="43">
        <v>26.33</v>
      </c>
    </row>
    <row r="124" spans="1:7" x14ac:dyDescent="0.3">
      <c r="A124" s="19">
        <v>782</v>
      </c>
      <c r="B124" s="19" t="s">
        <v>933</v>
      </c>
      <c r="C124" s="19" t="s">
        <v>774</v>
      </c>
      <c r="D124" s="19" t="s">
        <v>934</v>
      </c>
      <c r="E124" s="19" t="s">
        <v>815</v>
      </c>
      <c r="F124" s="19">
        <v>0</v>
      </c>
      <c r="G124" s="43">
        <v>120</v>
      </c>
    </row>
    <row r="125" spans="1:7" x14ac:dyDescent="0.3">
      <c r="A125" s="19">
        <v>32</v>
      </c>
      <c r="B125" s="19" t="s">
        <v>935</v>
      </c>
      <c r="C125" s="19" t="s">
        <v>774</v>
      </c>
      <c r="D125" s="19" t="s">
        <v>857</v>
      </c>
      <c r="E125" s="19" t="s">
        <v>815</v>
      </c>
      <c r="F125" s="19">
        <v>0</v>
      </c>
      <c r="G125" s="43">
        <v>57</v>
      </c>
    </row>
    <row r="126" spans="1:7" x14ac:dyDescent="0.3">
      <c r="A126" s="19">
        <v>33</v>
      </c>
      <c r="B126" s="19" t="s">
        <v>936</v>
      </c>
      <c r="C126" s="19" t="s">
        <v>774</v>
      </c>
      <c r="D126" s="19" t="s">
        <v>857</v>
      </c>
      <c r="E126" s="19" t="s">
        <v>815</v>
      </c>
      <c r="F126" s="19">
        <v>0</v>
      </c>
      <c r="G126" s="43">
        <v>33.950000000000003</v>
      </c>
    </row>
    <row r="127" spans="1:7" x14ac:dyDescent="0.3">
      <c r="A127" s="19">
        <v>430</v>
      </c>
      <c r="B127" s="19" t="s">
        <v>937</v>
      </c>
      <c r="C127" s="19" t="s">
        <v>774</v>
      </c>
      <c r="D127" s="19" t="s">
        <v>847</v>
      </c>
      <c r="E127" s="19" t="s">
        <v>815</v>
      </c>
      <c r="F127" s="19">
        <v>0</v>
      </c>
      <c r="G127" s="43">
        <v>23.38</v>
      </c>
    </row>
    <row r="128" spans="1:7" x14ac:dyDescent="0.3">
      <c r="A128" s="19">
        <v>1632</v>
      </c>
      <c r="B128" s="19" t="s">
        <v>938</v>
      </c>
      <c r="C128" s="19" t="s">
        <v>899</v>
      </c>
      <c r="D128" s="19" t="s">
        <v>939</v>
      </c>
      <c r="E128" s="19" t="s">
        <v>940</v>
      </c>
      <c r="F128" s="19">
        <v>0</v>
      </c>
      <c r="G128" s="43">
        <v>0.18</v>
      </c>
    </row>
    <row r="129" spans="1:7" x14ac:dyDescent="0.3">
      <c r="A129" s="19">
        <v>1132</v>
      </c>
      <c r="B129" s="19" t="s">
        <v>941</v>
      </c>
      <c r="C129" s="19" t="s">
        <v>899</v>
      </c>
      <c r="D129" s="19" t="s">
        <v>939</v>
      </c>
      <c r="E129" s="19" t="s">
        <v>940</v>
      </c>
      <c r="F129" s="19">
        <v>0</v>
      </c>
      <c r="G129" s="43">
        <v>3.77</v>
      </c>
    </row>
    <row r="130" spans="1:7" x14ac:dyDescent="0.3">
      <c r="A130" s="19">
        <v>1228</v>
      </c>
      <c r="B130" s="19" t="s">
        <v>942</v>
      </c>
      <c r="C130" s="19" t="s">
        <v>899</v>
      </c>
      <c r="D130" s="19" t="s">
        <v>939</v>
      </c>
      <c r="E130" s="19" t="s">
        <v>940</v>
      </c>
      <c r="F130" s="19">
        <v>0</v>
      </c>
      <c r="G130" s="43">
        <v>7.21</v>
      </c>
    </row>
    <row r="131" spans="1:7" x14ac:dyDescent="0.3">
      <c r="A131" s="19">
        <v>3970</v>
      </c>
      <c r="B131" s="19" t="s">
        <v>943</v>
      </c>
      <c r="C131" s="19" t="s">
        <v>899</v>
      </c>
      <c r="D131" s="19" t="s">
        <v>939</v>
      </c>
      <c r="E131" s="19" t="s">
        <v>940</v>
      </c>
      <c r="F131" s="19">
        <v>0</v>
      </c>
      <c r="G131" s="43">
        <v>0.59</v>
      </c>
    </row>
    <row r="132" spans="1:7" x14ac:dyDescent="0.3">
      <c r="A132" s="19">
        <v>1424</v>
      </c>
      <c r="B132" s="19" t="s">
        <v>944</v>
      </c>
      <c r="C132" s="19" t="s">
        <v>899</v>
      </c>
      <c r="D132" s="19" t="s">
        <v>939</v>
      </c>
      <c r="E132" s="19" t="s">
        <v>940</v>
      </c>
      <c r="F132" s="19">
        <v>0</v>
      </c>
      <c r="G132" s="43">
        <v>0.59</v>
      </c>
    </row>
    <row r="133" spans="1:7" x14ac:dyDescent="0.3">
      <c r="A133" s="19">
        <v>45</v>
      </c>
      <c r="B133" s="19" t="s">
        <v>945</v>
      </c>
      <c r="C133" s="19" t="s">
        <v>899</v>
      </c>
      <c r="D133" s="19" t="s">
        <v>939</v>
      </c>
      <c r="E133" s="19" t="s">
        <v>940</v>
      </c>
      <c r="F133" s="19">
        <v>0</v>
      </c>
      <c r="G133" s="43">
        <v>6.09</v>
      </c>
    </row>
    <row r="134" spans="1:7" x14ac:dyDescent="0.3">
      <c r="A134" s="19">
        <v>46</v>
      </c>
      <c r="B134" s="19" t="s">
        <v>946</v>
      </c>
      <c r="C134" s="19" t="s">
        <v>899</v>
      </c>
      <c r="D134" s="19" t="s">
        <v>939</v>
      </c>
      <c r="E134" s="19" t="s">
        <v>940</v>
      </c>
      <c r="F134" s="19">
        <v>0</v>
      </c>
      <c r="G134" s="43">
        <v>6.19</v>
      </c>
    </row>
    <row r="135" spans="1:7" x14ac:dyDescent="0.3">
      <c r="A135" s="19">
        <v>1868</v>
      </c>
      <c r="B135" s="19" t="s">
        <v>947</v>
      </c>
      <c r="C135" s="19" t="s">
        <v>899</v>
      </c>
      <c r="D135" s="19" t="s">
        <v>939</v>
      </c>
      <c r="E135" s="19" t="s">
        <v>940</v>
      </c>
      <c r="F135" s="19">
        <v>0</v>
      </c>
      <c r="G135" s="43">
        <v>3.77</v>
      </c>
    </row>
    <row r="136" spans="1:7" x14ac:dyDescent="0.3">
      <c r="A136" s="19">
        <v>1870</v>
      </c>
      <c r="B136" s="19" t="s">
        <v>948</v>
      </c>
      <c r="C136" s="19" t="s">
        <v>899</v>
      </c>
      <c r="D136" s="19" t="s">
        <v>939</v>
      </c>
      <c r="E136" s="19" t="s">
        <v>940</v>
      </c>
      <c r="F136" s="19">
        <v>0</v>
      </c>
      <c r="G136" s="43">
        <v>7.13</v>
      </c>
    </row>
    <row r="137" spans="1:7" x14ac:dyDescent="0.3">
      <c r="A137" s="19">
        <v>3294</v>
      </c>
      <c r="B137" s="19" t="s">
        <v>949</v>
      </c>
      <c r="C137" s="19" t="s">
        <v>899</v>
      </c>
      <c r="D137" s="19" t="s">
        <v>939</v>
      </c>
      <c r="E137" s="19" t="s">
        <v>940</v>
      </c>
      <c r="F137" s="19">
        <v>0</v>
      </c>
      <c r="G137" s="43">
        <v>6.82</v>
      </c>
    </row>
    <row r="138" spans="1:7" x14ac:dyDescent="0.3">
      <c r="A138" s="19">
        <v>3293</v>
      </c>
      <c r="B138" s="19" t="s">
        <v>950</v>
      </c>
      <c r="C138" s="19" t="s">
        <v>899</v>
      </c>
      <c r="D138" s="19" t="s">
        <v>939</v>
      </c>
      <c r="E138" s="19" t="s">
        <v>940</v>
      </c>
      <c r="F138" s="19">
        <v>0</v>
      </c>
      <c r="G138" s="43">
        <v>6.78</v>
      </c>
    </row>
    <row r="139" spans="1:7" x14ac:dyDescent="0.3">
      <c r="A139" s="19">
        <v>35</v>
      </c>
      <c r="B139" s="19" t="s">
        <v>951</v>
      </c>
      <c r="C139" s="19" t="s">
        <v>899</v>
      </c>
      <c r="D139" s="19" t="s">
        <v>939</v>
      </c>
      <c r="E139" s="19" t="s">
        <v>940</v>
      </c>
      <c r="F139" s="19">
        <v>0</v>
      </c>
      <c r="G139" s="43">
        <v>3.11</v>
      </c>
    </row>
    <row r="140" spans="1:7" x14ac:dyDescent="0.3">
      <c r="A140" s="19">
        <v>1926</v>
      </c>
      <c r="B140" s="19" t="s">
        <v>952</v>
      </c>
      <c r="C140" s="19" t="s">
        <v>899</v>
      </c>
      <c r="D140" s="19" t="s">
        <v>939</v>
      </c>
      <c r="E140" s="19" t="s">
        <v>940</v>
      </c>
      <c r="F140" s="19">
        <v>0</v>
      </c>
      <c r="G140" s="43">
        <v>6.24</v>
      </c>
    </row>
    <row r="141" spans="1:7" x14ac:dyDescent="0.3">
      <c r="A141" s="19">
        <v>40</v>
      </c>
      <c r="B141" s="19" t="s">
        <v>953</v>
      </c>
      <c r="C141" s="19" t="s">
        <v>899</v>
      </c>
      <c r="D141" s="19" t="s">
        <v>939</v>
      </c>
      <c r="E141" s="19" t="s">
        <v>940</v>
      </c>
      <c r="F141" s="19">
        <v>0</v>
      </c>
      <c r="G141" s="43">
        <v>2.74</v>
      </c>
    </row>
    <row r="142" spans="1:7" x14ac:dyDescent="0.3">
      <c r="A142" s="19">
        <v>1869</v>
      </c>
      <c r="B142" s="19" t="s">
        <v>954</v>
      </c>
      <c r="C142" s="19" t="s">
        <v>899</v>
      </c>
      <c r="D142" s="19" t="s">
        <v>939</v>
      </c>
      <c r="E142" s="19" t="s">
        <v>940</v>
      </c>
      <c r="F142" s="19">
        <v>0</v>
      </c>
      <c r="G142" s="43">
        <v>6.53</v>
      </c>
    </row>
    <row r="143" spans="1:7" x14ac:dyDescent="0.3">
      <c r="A143" s="19">
        <v>1138</v>
      </c>
      <c r="B143" s="19" t="s">
        <v>955</v>
      </c>
      <c r="C143" s="19" t="s">
        <v>899</v>
      </c>
      <c r="D143" s="19" t="s">
        <v>939</v>
      </c>
      <c r="E143" s="19" t="s">
        <v>940</v>
      </c>
      <c r="F143" s="19">
        <v>0</v>
      </c>
      <c r="G143" s="43">
        <v>3.77</v>
      </c>
    </row>
    <row r="144" spans="1:7" x14ac:dyDescent="0.3">
      <c r="A144" s="19">
        <v>3119</v>
      </c>
      <c r="B144" s="19" t="s">
        <v>956</v>
      </c>
      <c r="C144" s="19" t="s">
        <v>899</v>
      </c>
      <c r="D144" s="19" t="s">
        <v>939</v>
      </c>
      <c r="E144" s="19" t="s">
        <v>940</v>
      </c>
      <c r="F144" s="19">
        <v>0</v>
      </c>
      <c r="G144" s="43">
        <v>3.27</v>
      </c>
    </row>
    <row r="145" spans="1:7" x14ac:dyDescent="0.3">
      <c r="A145" s="19">
        <v>3286</v>
      </c>
      <c r="B145" s="19" t="s">
        <v>957</v>
      </c>
      <c r="C145" s="19" t="s">
        <v>899</v>
      </c>
      <c r="D145" s="19" t="s">
        <v>939</v>
      </c>
      <c r="E145" s="19" t="s">
        <v>940</v>
      </c>
      <c r="F145" s="19">
        <v>0</v>
      </c>
      <c r="G145" s="43">
        <v>3.48</v>
      </c>
    </row>
    <row r="146" spans="1:7" x14ac:dyDescent="0.3">
      <c r="A146" s="19">
        <v>3968</v>
      </c>
      <c r="B146" s="19" t="s">
        <v>958</v>
      </c>
      <c r="C146" s="19" t="s">
        <v>899</v>
      </c>
      <c r="D146" s="19" t="s">
        <v>939</v>
      </c>
      <c r="E146" s="19" t="s">
        <v>940</v>
      </c>
      <c r="F146" s="19">
        <v>0</v>
      </c>
      <c r="G146" s="43">
        <v>0.5</v>
      </c>
    </row>
    <row r="147" spans="1:7" x14ac:dyDescent="0.3">
      <c r="A147" s="19">
        <v>1139</v>
      </c>
      <c r="B147" s="19" t="s">
        <v>959</v>
      </c>
      <c r="C147" s="19" t="s">
        <v>899</v>
      </c>
      <c r="D147" s="19" t="s">
        <v>939</v>
      </c>
      <c r="E147" s="19" t="s">
        <v>940</v>
      </c>
      <c r="F147" s="19">
        <v>0</v>
      </c>
      <c r="G147" s="43">
        <v>4.51</v>
      </c>
    </row>
    <row r="148" spans="1:7" x14ac:dyDescent="0.3">
      <c r="A148" s="19">
        <v>3118</v>
      </c>
      <c r="B148" s="19" t="s">
        <v>960</v>
      </c>
      <c r="C148" s="19" t="s">
        <v>899</v>
      </c>
      <c r="D148" s="19" t="s">
        <v>939</v>
      </c>
      <c r="E148" s="19" t="s">
        <v>940</v>
      </c>
      <c r="F148" s="19">
        <v>0</v>
      </c>
      <c r="G148" s="43">
        <v>5.22</v>
      </c>
    </row>
    <row r="149" spans="1:7" x14ac:dyDescent="0.3">
      <c r="A149" s="19">
        <v>3471</v>
      </c>
      <c r="B149" s="19" t="s">
        <v>961</v>
      </c>
      <c r="C149" s="19" t="s">
        <v>899</v>
      </c>
      <c r="D149" s="19" t="s">
        <v>939</v>
      </c>
      <c r="E149" s="19" t="s">
        <v>940</v>
      </c>
      <c r="F149" s="19">
        <v>0</v>
      </c>
      <c r="G149" s="43">
        <v>3.26</v>
      </c>
    </row>
    <row r="150" spans="1:7" x14ac:dyDescent="0.3">
      <c r="A150" s="19">
        <v>41</v>
      </c>
      <c r="B150" s="19" t="s">
        <v>962</v>
      </c>
      <c r="C150" s="19" t="s">
        <v>899</v>
      </c>
      <c r="D150" s="19" t="s">
        <v>939</v>
      </c>
      <c r="E150" s="19" t="s">
        <v>940</v>
      </c>
      <c r="F150" s="19">
        <v>0</v>
      </c>
      <c r="G150" s="43">
        <v>3.3</v>
      </c>
    </row>
    <row r="151" spans="1:7" x14ac:dyDescent="0.3">
      <c r="A151" s="19">
        <v>538</v>
      </c>
      <c r="B151" s="19" t="s">
        <v>963</v>
      </c>
      <c r="C151" s="19" t="s">
        <v>774</v>
      </c>
      <c r="D151" s="19" t="s">
        <v>964</v>
      </c>
      <c r="E151" s="19" t="s">
        <v>815</v>
      </c>
      <c r="F151" s="19">
        <v>25</v>
      </c>
      <c r="G151" s="43">
        <v>54.74</v>
      </c>
    </row>
    <row r="152" spans="1:7" x14ac:dyDescent="0.3">
      <c r="A152" s="19">
        <v>506</v>
      </c>
      <c r="B152" s="19" t="s">
        <v>965</v>
      </c>
      <c r="C152" s="19" t="s">
        <v>774</v>
      </c>
      <c r="D152" s="19" t="s">
        <v>966</v>
      </c>
      <c r="E152" s="19" t="s">
        <v>815</v>
      </c>
      <c r="F152" s="19">
        <v>25</v>
      </c>
      <c r="G152" s="43">
        <v>43</v>
      </c>
    </row>
    <row r="153" spans="1:7" x14ac:dyDescent="0.3">
      <c r="A153" s="19">
        <v>539</v>
      </c>
      <c r="B153" s="19" t="s">
        <v>967</v>
      </c>
      <c r="C153" s="19" t="s">
        <v>774</v>
      </c>
      <c r="D153" s="19" t="s">
        <v>968</v>
      </c>
      <c r="E153" s="19" t="s">
        <v>815</v>
      </c>
      <c r="F153" s="19">
        <v>4</v>
      </c>
      <c r="G153" s="43">
        <v>80.040000000000006</v>
      </c>
    </row>
    <row r="154" spans="1:7" x14ac:dyDescent="0.3">
      <c r="A154" s="19">
        <v>1502</v>
      </c>
      <c r="B154" s="19" t="s">
        <v>969</v>
      </c>
      <c r="C154" s="19" t="s">
        <v>774</v>
      </c>
      <c r="D154" s="19" t="s">
        <v>964</v>
      </c>
      <c r="E154" s="19" t="s">
        <v>815</v>
      </c>
      <c r="F154" s="19">
        <v>25</v>
      </c>
      <c r="G154" s="43">
        <v>61.37</v>
      </c>
    </row>
    <row r="155" spans="1:7" x14ac:dyDescent="0.3">
      <c r="A155" s="19">
        <v>1503</v>
      </c>
      <c r="B155" s="19" t="s">
        <v>970</v>
      </c>
      <c r="C155" s="19" t="s">
        <v>774</v>
      </c>
      <c r="D155" s="19" t="s">
        <v>971</v>
      </c>
      <c r="E155" s="19" t="s">
        <v>972</v>
      </c>
      <c r="F155" s="19">
        <v>0</v>
      </c>
      <c r="G155" s="43">
        <v>4000</v>
      </c>
    </row>
    <row r="156" spans="1:7" x14ac:dyDescent="0.3">
      <c r="A156" s="19">
        <v>1504</v>
      </c>
      <c r="B156" s="19" t="s">
        <v>973</v>
      </c>
      <c r="C156" s="19" t="s">
        <v>781</v>
      </c>
      <c r="D156" s="19" t="s">
        <v>775</v>
      </c>
      <c r="E156" s="19" t="s">
        <v>974</v>
      </c>
      <c r="F156" s="19">
        <v>0</v>
      </c>
      <c r="G156" s="43">
        <v>50.9</v>
      </c>
    </row>
    <row r="157" spans="1:7" x14ac:dyDescent="0.3">
      <c r="A157" s="19">
        <v>2525</v>
      </c>
      <c r="B157" s="19" t="s">
        <v>975</v>
      </c>
      <c r="C157" s="19" t="s">
        <v>812</v>
      </c>
      <c r="D157" s="19" t="s">
        <v>778</v>
      </c>
      <c r="E157" s="19" t="s">
        <v>974</v>
      </c>
      <c r="F157" s="19">
        <v>0</v>
      </c>
      <c r="G157" s="43">
        <v>1.4</v>
      </c>
    </row>
    <row r="158" spans="1:7" x14ac:dyDescent="0.3">
      <c r="A158" s="19">
        <v>286</v>
      </c>
      <c r="B158" s="19" t="s">
        <v>976</v>
      </c>
      <c r="C158" s="19" t="s">
        <v>774</v>
      </c>
      <c r="D158" s="19" t="s">
        <v>778</v>
      </c>
      <c r="E158" s="19" t="s">
        <v>974</v>
      </c>
      <c r="F158" s="19">
        <v>0</v>
      </c>
      <c r="G158" s="43">
        <v>1504.03</v>
      </c>
    </row>
    <row r="159" spans="1:7" x14ac:dyDescent="0.3">
      <c r="A159" s="19">
        <v>298</v>
      </c>
      <c r="B159" s="19" t="s">
        <v>977</v>
      </c>
      <c r="C159" s="19" t="s">
        <v>774</v>
      </c>
      <c r="D159" s="19" t="s">
        <v>778</v>
      </c>
      <c r="E159" s="19" t="s">
        <v>974</v>
      </c>
      <c r="F159" s="19">
        <v>0</v>
      </c>
      <c r="G159" s="43">
        <v>1360.59</v>
      </c>
    </row>
    <row r="160" spans="1:7" x14ac:dyDescent="0.3">
      <c r="A160" s="19">
        <v>235</v>
      </c>
      <c r="B160" s="19" t="s">
        <v>978</v>
      </c>
      <c r="C160" s="19" t="s">
        <v>774</v>
      </c>
      <c r="D160" s="19" t="s">
        <v>778</v>
      </c>
      <c r="E160" s="19" t="s">
        <v>974</v>
      </c>
      <c r="F160" s="19">
        <v>0</v>
      </c>
      <c r="G160" s="43">
        <v>10</v>
      </c>
    </row>
    <row r="161" spans="1:7" x14ac:dyDescent="0.3">
      <c r="A161" s="19">
        <v>1505</v>
      </c>
      <c r="B161" s="19" t="s">
        <v>979</v>
      </c>
      <c r="C161" s="19" t="s">
        <v>774</v>
      </c>
      <c r="D161" s="19" t="s">
        <v>775</v>
      </c>
      <c r="E161" s="19" t="s">
        <v>974</v>
      </c>
      <c r="F161" s="19">
        <v>0</v>
      </c>
      <c r="G161" s="43">
        <v>12739</v>
      </c>
    </row>
    <row r="162" spans="1:7" x14ac:dyDescent="0.3">
      <c r="A162" s="19">
        <v>292</v>
      </c>
      <c r="B162" s="19" t="s">
        <v>980</v>
      </c>
      <c r="C162" s="19" t="s">
        <v>774</v>
      </c>
      <c r="D162" s="19" t="s">
        <v>778</v>
      </c>
      <c r="E162" s="19" t="s">
        <v>974</v>
      </c>
      <c r="F162" s="19">
        <v>0</v>
      </c>
      <c r="G162" s="43">
        <v>1459.27</v>
      </c>
    </row>
    <row r="163" spans="1:7" x14ac:dyDescent="0.3">
      <c r="A163" s="19">
        <v>234</v>
      </c>
      <c r="B163" s="19" t="s">
        <v>981</v>
      </c>
      <c r="C163" s="19" t="s">
        <v>774</v>
      </c>
      <c r="D163" s="19" t="s">
        <v>778</v>
      </c>
      <c r="E163" s="19" t="s">
        <v>974</v>
      </c>
      <c r="F163" s="19">
        <v>0</v>
      </c>
      <c r="G163" s="43">
        <v>10</v>
      </c>
    </row>
    <row r="164" spans="1:7" x14ac:dyDescent="0.3">
      <c r="A164" s="19">
        <v>247</v>
      </c>
      <c r="B164" s="19" t="s">
        <v>982</v>
      </c>
      <c r="C164" s="19" t="s">
        <v>774</v>
      </c>
      <c r="D164" s="19" t="s">
        <v>778</v>
      </c>
      <c r="E164" s="19" t="s">
        <v>815</v>
      </c>
      <c r="F164" s="19">
        <v>0</v>
      </c>
      <c r="G164" s="43">
        <v>3408.37</v>
      </c>
    </row>
    <row r="165" spans="1:7" x14ac:dyDescent="0.3">
      <c r="A165" s="19">
        <v>265</v>
      </c>
      <c r="B165" s="19" t="s">
        <v>983</v>
      </c>
      <c r="C165" s="19" t="s">
        <v>774</v>
      </c>
      <c r="D165" s="19" t="s">
        <v>778</v>
      </c>
      <c r="E165" s="19" t="s">
        <v>974</v>
      </c>
      <c r="F165" s="19">
        <v>0</v>
      </c>
      <c r="G165" s="43">
        <v>4145.0200000000004</v>
      </c>
    </row>
    <row r="166" spans="1:7" x14ac:dyDescent="0.3">
      <c r="A166" s="19">
        <v>1508</v>
      </c>
      <c r="B166" s="19" t="s">
        <v>984</v>
      </c>
      <c r="C166" s="19" t="s">
        <v>774</v>
      </c>
      <c r="D166" s="19" t="s">
        <v>775</v>
      </c>
      <c r="E166" s="19" t="s">
        <v>974</v>
      </c>
      <c r="F166" s="19">
        <v>0</v>
      </c>
      <c r="G166" s="43">
        <v>4246.8</v>
      </c>
    </row>
    <row r="167" spans="1:7" x14ac:dyDescent="0.3">
      <c r="A167" s="19">
        <v>2589</v>
      </c>
      <c r="B167" s="19" t="s">
        <v>985</v>
      </c>
      <c r="C167" s="19" t="s">
        <v>774</v>
      </c>
      <c r="D167" s="19" t="s">
        <v>778</v>
      </c>
      <c r="E167" s="19" t="s">
        <v>974</v>
      </c>
      <c r="F167" s="19">
        <v>0</v>
      </c>
      <c r="G167" s="43">
        <v>3154.36</v>
      </c>
    </row>
    <row r="168" spans="1:7" x14ac:dyDescent="0.3">
      <c r="A168" s="19">
        <v>250</v>
      </c>
      <c r="B168" s="19" t="s">
        <v>986</v>
      </c>
      <c r="C168" s="19" t="s">
        <v>774</v>
      </c>
      <c r="D168" s="19" t="s">
        <v>778</v>
      </c>
      <c r="E168" s="19" t="s">
        <v>974</v>
      </c>
      <c r="F168" s="19">
        <v>0</v>
      </c>
      <c r="G168" s="43">
        <v>3154.36</v>
      </c>
    </row>
    <row r="169" spans="1:7" x14ac:dyDescent="0.3">
      <c r="A169" s="19">
        <v>1409</v>
      </c>
      <c r="B169" s="19" t="s">
        <v>987</v>
      </c>
      <c r="C169" s="19" t="s">
        <v>774</v>
      </c>
      <c r="D169" s="19" t="s">
        <v>775</v>
      </c>
      <c r="E169" s="19" t="s">
        <v>974</v>
      </c>
      <c r="F169" s="19">
        <v>0</v>
      </c>
      <c r="G169" s="43">
        <v>2567.9699999999998</v>
      </c>
    </row>
    <row r="170" spans="1:7" x14ac:dyDescent="0.3">
      <c r="A170" s="19">
        <v>257</v>
      </c>
      <c r="B170" s="19" t="s">
        <v>988</v>
      </c>
      <c r="C170" s="19" t="s">
        <v>774</v>
      </c>
      <c r="D170" s="19" t="s">
        <v>778</v>
      </c>
      <c r="E170" s="19" t="s">
        <v>974</v>
      </c>
      <c r="F170" s="19">
        <v>0</v>
      </c>
      <c r="G170" s="43">
        <v>1760.01</v>
      </c>
    </row>
    <row r="171" spans="1:7" x14ac:dyDescent="0.3">
      <c r="A171" s="19">
        <v>1506</v>
      </c>
      <c r="B171" s="19" t="s">
        <v>989</v>
      </c>
      <c r="C171" s="19" t="s">
        <v>774</v>
      </c>
      <c r="D171" s="19" t="s">
        <v>775</v>
      </c>
      <c r="E171" s="19" t="s">
        <v>974</v>
      </c>
      <c r="F171" s="19">
        <v>0</v>
      </c>
      <c r="G171" s="43">
        <v>0</v>
      </c>
    </row>
    <row r="172" spans="1:7" x14ac:dyDescent="0.3">
      <c r="A172" s="19">
        <v>252</v>
      </c>
      <c r="B172" s="19" t="s">
        <v>990</v>
      </c>
      <c r="C172" s="19" t="s">
        <v>774</v>
      </c>
      <c r="D172" s="19" t="s">
        <v>778</v>
      </c>
      <c r="E172" s="19" t="s">
        <v>974</v>
      </c>
      <c r="F172" s="19">
        <v>0</v>
      </c>
      <c r="G172" s="43">
        <v>3743.69</v>
      </c>
    </row>
    <row r="173" spans="1:7" x14ac:dyDescent="0.3">
      <c r="A173" s="19">
        <v>256</v>
      </c>
      <c r="B173" s="19" t="s">
        <v>991</v>
      </c>
      <c r="C173" s="19" t="s">
        <v>774</v>
      </c>
      <c r="D173" s="19" t="s">
        <v>778</v>
      </c>
      <c r="E173" s="19" t="s">
        <v>974</v>
      </c>
      <c r="F173" s="19">
        <v>0</v>
      </c>
      <c r="G173" s="43">
        <v>816.04</v>
      </c>
    </row>
    <row r="174" spans="1:7" x14ac:dyDescent="0.3">
      <c r="A174" s="19">
        <v>1507</v>
      </c>
      <c r="B174" s="19" t="s">
        <v>992</v>
      </c>
      <c r="C174" s="19" t="s">
        <v>774</v>
      </c>
      <c r="D174" s="19" t="s">
        <v>778</v>
      </c>
      <c r="E174" s="19" t="s">
        <v>974</v>
      </c>
      <c r="F174" s="19">
        <v>0</v>
      </c>
      <c r="G174" s="43">
        <v>1838.53</v>
      </c>
    </row>
    <row r="175" spans="1:7" x14ac:dyDescent="0.3">
      <c r="A175" s="19">
        <v>240</v>
      </c>
      <c r="B175" s="19" t="s">
        <v>993</v>
      </c>
      <c r="C175" s="19" t="s">
        <v>774</v>
      </c>
      <c r="D175" s="19" t="s">
        <v>778</v>
      </c>
      <c r="E175" s="19" t="s">
        <v>974</v>
      </c>
      <c r="F175" s="19">
        <v>0</v>
      </c>
      <c r="G175" s="43">
        <v>862.83</v>
      </c>
    </row>
    <row r="176" spans="1:7" x14ac:dyDescent="0.3">
      <c r="A176" s="19">
        <v>744</v>
      </c>
      <c r="B176" s="19" t="s">
        <v>994</v>
      </c>
      <c r="C176" s="19" t="s">
        <v>774</v>
      </c>
      <c r="D176" s="19" t="s">
        <v>778</v>
      </c>
      <c r="E176" s="19" t="s">
        <v>974</v>
      </c>
      <c r="F176" s="19">
        <v>0</v>
      </c>
      <c r="G176" s="43">
        <v>4047.97</v>
      </c>
    </row>
    <row r="177" spans="1:7" x14ac:dyDescent="0.3">
      <c r="A177" s="19">
        <v>1398</v>
      </c>
      <c r="B177" s="19" t="s">
        <v>995</v>
      </c>
      <c r="C177" s="19" t="s">
        <v>774</v>
      </c>
      <c r="D177" s="19" t="s">
        <v>775</v>
      </c>
      <c r="E177" s="19" t="s">
        <v>974</v>
      </c>
      <c r="F177" s="19">
        <v>0</v>
      </c>
      <c r="G177" s="43">
        <v>3055</v>
      </c>
    </row>
    <row r="178" spans="1:7" x14ac:dyDescent="0.3">
      <c r="A178" s="19">
        <v>1795</v>
      </c>
      <c r="B178" s="19" t="s">
        <v>996</v>
      </c>
      <c r="C178" s="19" t="s">
        <v>774</v>
      </c>
      <c r="D178" s="19" t="s">
        <v>778</v>
      </c>
      <c r="E178" s="19" t="s">
        <v>974</v>
      </c>
      <c r="F178" s="19">
        <v>0</v>
      </c>
      <c r="G178" s="43">
        <v>1246.02</v>
      </c>
    </row>
    <row r="179" spans="1:7" x14ac:dyDescent="0.3">
      <c r="A179" s="19">
        <v>1337</v>
      </c>
      <c r="B179" s="19" t="s">
        <v>997</v>
      </c>
      <c r="C179" s="19" t="s">
        <v>774</v>
      </c>
      <c r="D179" s="19" t="s">
        <v>775</v>
      </c>
      <c r="E179" s="19" t="s">
        <v>974</v>
      </c>
      <c r="F179" s="19">
        <v>0</v>
      </c>
      <c r="G179" s="43">
        <v>8689.5</v>
      </c>
    </row>
    <row r="180" spans="1:7" x14ac:dyDescent="0.3">
      <c r="A180" s="19">
        <v>267</v>
      </c>
      <c r="B180" s="19" t="s">
        <v>998</v>
      </c>
      <c r="C180" s="19" t="s">
        <v>774</v>
      </c>
      <c r="D180" s="19" t="s">
        <v>778</v>
      </c>
      <c r="E180" s="19" t="s">
        <v>974</v>
      </c>
      <c r="F180" s="19">
        <v>0</v>
      </c>
      <c r="G180" s="43">
        <v>2880</v>
      </c>
    </row>
    <row r="181" spans="1:7" x14ac:dyDescent="0.3">
      <c r="A181" s="19">
        <v>1509</v>
      </c>
      <c r="B181" s="19" t="s">
        <v>999</v>
      </c>
      <c r="C181" s="19" t="s">
        <v>774</v>
      </c>
      <c r="D181" s="19" t="s">
        <v>778</v>
      </c>
      <c r="E181" s="19" t="s">
        <v>974</v>
      </c>
      <c r="F181" s="19">
        <v>0</v>
      </c>
      <c r="G181" s="43">
        <v>2723.1</v>
      </c>
    </row>
    <row r="182" spans="1:7" x14ac:dyDescent="0.3">
      <c r="A182" s="19">
        <v>268</v>
      </c>
      <c r="B182" s="19" t="s">
        <v>1000</v>
      </c>
      <c r="C182" s="19" t="s">
        <v>774</v>
      </c>
      <c r="D182" s="19" t="s">
        <v>778</v>
      </c>
      <c r="E182" s="19" t="s">
        <v>974</v>
      </c>
      <c r="F182" s="19">
        <v>0</v>
      </c>
      <c r="G182" s="43">
        <v>642.88</v>
      </c>
    </row>
    <row r="183" spans="1:7" x14ac:dyDescent="0.3">
      <c r="A183" s="19">
        <v>4001</v>
      </c>
      <c r="B183" s="19" t="s">
        <v>1001</v>
      </c>
      <c r="C183" s="19" t="s">
        <v>774</v>
      </c>
      <c r="D183" s="19" t="s">
        <v>778</v>
      </c>
      <c r="E183" s="19" t="s">
        <v>974</v>
      </c>
      <c r="F183" s="19">
        <v>0</v>
      </c>
      <c r="G183" s="43">
        <v>2000</v>
      </c>
    </row>
    <row r="184" spans="1:7" x14ac:dyDescent="0.3">
      <c r="A184" s="19">
        <v>302</v>
      </c>
      <c r="B184" s="19" t="s">
        <v>1002</v>
      </c>
      <c r="C184" s="19" t="s">
        <v>774</v>
      </c>
      <c r="D184" s="19" t="s">
        <v>778</v>
      </c>
      <c r="E184" s="19" t="s">
        <v>974</v>
      </c>
      <c r="F184" s="19">
        <v>0</v>
      </c>
      <c r="G184" s="43">
        <v>1461.08</v>
      </c>
    </row>
    <row r="185" spans="1:7" x14ac:dyDescent="0.3">
      <c r="A185" s="19">
        <v>1510</v>
      </c>
      <c r="B185" s="19" t="s">
        <v>1003</v>
      </c>
      <c r="C185" s="19" t="s">
        <v>774</v>
      </c>
      <c r="D185" s="19" t="s">
        <v>778</v>
      </c>
      <c r="E185" s="19" t="s">
        <v>974</v>
      </c>
      <c r="F185" s="19">
        <v>0</v>
      </c>
      <c r="G185" s="43">
        <v>1895.95</v>
      </c>
    </row>
    <row r="186" spans="1:7" x14ac:dyDescent="0.3">
      <c r="A186" s="19">
        <v>727</v>
      </c>
      <c r="B186" s="19" t="s">
        <v>1004</v>
      </c>
      <c r="C186" s="19" t="s">
        <v>774</v>
      </c>
      <c r="D186" s="19" t="s">
        <v>778</v>
      </c>
      <c r="E186" s="19" t="s">
        <v>974</v>
      </c>
      <c r="F186" s="19">
        <v>0</v>
      </c>
      <c r="G186" s="43">
        <v>7203.18</v>
      </c>
    </row>
    <row r="187" spans="1:7" x14ac:dyDescent="0.3">
      <c r="A187" s="19">
        <v>1511</v>
      </c>
      <c r="B187" s="19" t="s">
        <v>1005</v>
      </c>
      <c r="C187" s="19" t="s">
        <v>774</v>
      </c>
      <c r="D187" s="19" t="s">
        <v>788</v>
      </c>
      <c r="E187" s="19" t="s">
        <v>974</v>
      </c>
      <c r="F187" s="19">
        <v>0</v>
      </c>
      <c r="G187" s="43">
        <v>0</v>
      </c>
    </row>
    <row r="188" spans="1:7" x14ac:dyDescent="0.3">
      <c r="A188" s="19">
        <v>1377</v>
      </c>
      <c r="B188" s="19" t="s">
        <v>1006</v>
      </c>
      <c r="C188" s="19" t="s">
        <v>774</v>
      </c>
      <c r="D188" s="19" t="s">
        <v>775</v>
      </c>
      <c r="E188" s="19" t="s">
        <v>974</v>
      </c>
      <c r="F188" s="19">
        <v>0</v>
      </c>
      <c r="G188" s="43">
        <v>18536</v>
      </c>
    </row>
    <row r="189" spans="1:7" x14ac:dyDescent="0.3">
      <c r="A189" s="19">
        <v>1512</v>
      </c>
      <c r="B189" s="19" t="s">
        <v>1007</v>
      </c>
      <c r="C189" s="19" t="s">
        <v>774</v>
      </c>
      <c r="D189" s="19" t="s">
        <v>775</v>
      </c>
      <c r="E189" s="19" t="s">
        <v>974</v>
      </c>
      <c r="F189" s="19">
        <v>0</v>
      </c>
      <c r="G189" s="43">
        <v>7149</v>
      </c>
    </row>
    <row r="190" spans="1:7" x14ac:dyDescent="0.3">
      <c r="A190" s="19">
        <v>1335</v>
      </c>
      <c r="B190" s="19" t="s">
        <v>1008</v>
      </c>
      <c r="C190" s="19" t="s">
        <v>774</v>
      </c>
      <c r="D190" s="19" t="s">
        <v>775</v>
      </c>
      <c r="E190" s="19" t="s">
        <v>974</v>
      </c>
      <c r="F190" s="19">
        <v>0</v>
      </c>
      <c r="G190" s="43">
        <v>3013</v>
      </c>
    </row>
    <row r="191" spans="1:7" x14ac:dyDescent="0.3">
      <c r="A191" s="19">
        <v>352</v>
      </c>
      <c r="B191" s="19" t="s">
        <v>1009</v>
      </c>
      <c r="C191" s="19" t="s">
        <v>774</v>
      </c>
      <c r="D191" s="19" t="s">
        <v>775</v>
      </c>
      <c r="E191" s="19" t="s">
        <v>974</v>
      </c>
      <c r="F191" s="19">
        <v>0</v>
      </c>
      <c r="G191" s="43">
        <v>896.27</v>
      </c>
    </row>
    <row r="192" spans="1:7" x14ac:dyDescent="0.3">
      <c r="A192" s="19">
        <v>246</v>
      </c>
      <c r="B192" s="19" t="s">
        <v>1010</v>
      </c>
      <c r="C192" s="19" t="s">
        <v>774</v>
      </c>
      <c r="D192" s="19" t="s">
        <v>778</v>
      </c>
      <c r="E192" s="19" t="s">
        <v>974</v>
      </c>
      <c r="F192" s="19">
        <v>0</v>
      </c>
      <c r="G192" s="43">
        <v>3823.57</v>
      </c>
    </row>
    <row r="193" spans="1:7" x14ac:dyDescent="0.3">
      <c r="A193" s="19">
        <v>1513</v>
      </c>
      <c r="B193" s="19" t="s">
        <v>1011</v>
      </c>
      <c r="C193" s="19" t="s">
        <v>774</v>
      </c>
      <c r="D193" s="19" t="s">
        <v>778</v>
      </c>
      <c r="E193" s="19" t="s">
        <v>815</v>
      </c>
      <c r="F193" s="19">
        <v>0</v>
      </c>
      <c r="G193" s="43">
        <v>2206.4299999999998</v>
      </c>
    </row>
    <row r="194" spans="1:7" x14ac:dyDescent="0.3">
      <c r="A194" s="19">
        <v>1996</v>
      </c>
      <c r="B194" s="19" t="s">
        <v>1012</v>
      </c>
      <c r="C194" s="19" t="s">
        <v>774</v>
      </c>
      <c r="D194" s="19" t="s">
        <v>854</v>
      </c>
      <c r="E194" s="19" t="s">
        <v>974</v>
      </c>
      <c r="F194" s="19">
        <v>0</v>
      </c>
      <c r="G194" s="43">
        <v>0</v>
      </c>
    </row>
    <row r="195" spans="1:7" x14ac:dyDescent="0.3">
      <c r="A195" s="19">
        <v>1514</v>
      </c>
      <c r="B195" s="19" t="s">
        <v>1013</v>
      </c>
      <c r="C195" s="19" t="s">
        <v>774</v>
      </c>
      <c r="D195" s="19" t="s">
        <v>775</v>
      </c>
      <c r="E195" s="19" t="s">
        <v>974</v>
      </c>
      <c r="F195" s="19">
        <v>0</v>
      </c>
      <c r="G195" s="43">
        <v>1508.34</v>
      </c>
    </row>
    <row r="196" spans="1:7" x14ac:dyDescent="0.3">
      <c r="A196" s="19">
        <v>262</v>
      </c>
      <c r="B196" s="19" t="s">
        <v>1014</v>
      </c>
      <c r="C196" s="19" t="s">
        <v>774</v>
      </c>
      <c r="D196" s="19" t="s">
        <v>778</v>
      </c>
      <c r="E196" s="19" t="s">
        <v>815</v>
      </c>
      <c r="F196" s="19">
        <v>0</v>
      </c>
      <c r="G196" s="43">
        <v>1911.03</v>
      </c>
    </row>
    <row r="197" spans="1:7" x14ac:dyDescent="0.3">
      <c r="A197" s="19">
        <v>1515</v>
      </c>
      <c r="B197" s="19" t="s">
        <v>1015</v>
      </c>
      <c r="C197" s="19" t="s">
        <v>774</v>
      </c>
      <c r="D197" s="19" t="s">
        <v>778</v>
      </c>
      <c r="E197" s="19" t="s">
        <v>974</v>
      </c>
      <c r="F197" s="19">
        <v>0</v>
      </c>
      <c r="G197" s="43">
        <v>2093.2600000000002</v>
      </c>
    </row>
    <row r="198" spans="1:7" x14ac:dyDescent="0.3">
      <c r="A198" s="19">
        <v>237</v>
      </c>
      <c r="B198" s="19" t="s">
        <v>1016</v>
      </c>
      <c r="C198" s="19" t="s">
        <v>774</v>
      </c>
      <c r="D198" s="19" t="s">
        <v>778</v>
      </c>
      <c r="E198" s="19" t="s">
        <v>974</v>
      </c>
      <c r="F198" s="19">
        <v>0</v>
      </c>
      <c r="G198" s="43">
        <v>10</v>
      </c>
    </row>
    <row r="199" spans="1:7" x14ac:dyDescent="0.3">
      <c r="A199" s="19">
        <v>1336</v>
      </c>
      <c r="B199" s="19" t="s">
        <v>1017</v>
      </c>
      <c r="C199" s="19" t="s">
        <v>774</v>
      </c>
      <c r="D199" s="19" t="s">
        <v>775</v>
      </c>
      <c r="E199" s="19" t="s">
        <v>974</v>
      </c>
      <c r="F199" s="19">
        <v>0</v>
      </c>
      <c r="G199" s="43">
        <v>5255.29</v>
      </c>
    </row>
    <row r="200" spans="1:7" x14ac:dyDescent="0.3">
      <c r="A200" s="19">
        <v>295</v>
      </c>
      <c r="B200" s="19" t="s">
        <v>1018</v>
      </c>
      <c r="C200" s="19" t="s">
        <v>774</v>
      </c>
      <c r="D200" s="19" t="s">
        <v>778</v>
      </c>
      <c r="E200" s="19" t="s">
        <v>815</v>
      </c>
      <c r="F200" s="19">
        <v>0</v>
      </c>
      <c r="G200" s="43">
        <v>1242.5999999999999</v>
      </c>
    </row>
    <row r="201" spans="1:7" x14ac:dyDescent="0.3">
      <c r="A201" s="19">
        <v>1516</v>
      </c>
      <c r="B201" s="19" t="s">
        <v>1019</v>
      </c>
      <c r="C201" s="19" t="s">
        <v>774</v>
      </c>
      <c r="D201" s="19" t="s">
        <v>788</v>
      </c>
      <c r="E201" s="19" t="s">
        <v>974</v>
      </c>
      <c r="F201" s="19">
        <v>0</v>
      </c>
      <c r="G201" s="43">
        <v>0</v>
      </c>
    </row>
    <row r="202" spans="1:7" x14ac:dyDescent="0.3">
      <c r="A202" s="19">
        <v>1517</v>
      </c>
      <c r="B202" s="19" t="s">
        <v>1020</v>
      </c>
      <c r="C202" s="19" t="s">
        <v>774</v>
      </c>
      <c r="D202" s="19" t="s">
        <v>778</v>
      </c>
      <c r="E202" s="19" t="s">
        <v>974</v>
      </c>
      <c r="F202" s="19">
        <v>0</v>
      </c>
      <c r="G202" s="43">
        <v>1269.49</v>
      </c>
    </row>
    <row r="203" spans="1:7" x14ac:dyDescent="0.3">
      <c r="A203" s="19">
        <v>3313</v>
      </c>
      <c r="B203" s="19" t="s">
        <v>1021</v>
      </c>
      <c r="C203" s="19" t="s">
        <v>774</v>
      </c>
      <c r="D203" s="19" t="s">
        <v>775</v>
      </c>
      <c r="E203" s="19" t="s">
        <v>974</v>
      </c>
      <c r="F203" s="19">
        <v>0</v>
      </c>
      <c r="G203" s="43">
        <v>3540.22</v>
      </c>
    </row>
    <row r="204" spans="1:7" x14ac:dyDescent="0.3">
      <c r="A204" s="19">
        <v>995</v>
      </c>
      <c r="B204" s="19" t="s">
        <v>1022</v>
      </c>
      <c r="C204" s="19" t="s">
        <v>774</v>
      </c>
      <c r="D204" s="19" t="s">
        <v>854</v>
      </c>
      <c r="E204" s="19" t="s">
        <v>815</v>
      </c>
      <c r="F204" s="19">
        <v>0</v>
      </c>
      <c r="G204" s="43">
        <v>285</v>
      </c>
    </row>
    <row r="205" spans="1:7" x14ac:dyDescent="0.3">
      <c r="A205" s="19">
        <v>1604</v>
      </c>
      <c r="B205" s="19" t="s">
        <v>1023</v>
      </c>
      <c r="C205" s="19" t="s">
        <v>1024</v>
      </c>
      <c r="D205" s="19" t="s">
        <v>1025</v>
      </c>
      <c r="E205" s="19" t="s">
        <v>815</v>
      </c>
      <c r="F205" s="19">
        <v>0</v>
      </c>
      <c r="G205" s="43">
        <v>65</v>
      </c>
    </row>
    <row r="206" spans="1:7" x14ac:dyDescent="0.3">
      <c r="A206" s="19">
        <v>1953</v>
      </c>
      <c r="B206" s="19" t="s">
        <v>1026</v>
      </c>
      <c r="C206" s="19" t="s">
        <v>1024</v>
      </c>
      <c r="D206" s="19" t="s">
        <v>1027</v>
      </c>
      <c r="E206" s="19" t="s">
        <v>815</v>
      </c>
      <c r="F206" s="19">
        <v>0</v>
      </c>
      <c r="G206" s="43">
        <v>325</v>
      </c>
    </row>
    <row r="207" spans="1:7" x14ac:dyDescent="0.3">
      <c r="A207" s="19">
        <v>2916</v>
      </c>
      <c r="B207" s="19" t="s">
        <v>1028</v>
      </c>
      <c r="C207" s="19" t="s">
        <v>899</v>
      </c>
      <c r="D207" s="19" t="s">
        <v>1029</v>
      </c>
      <c r="E207" s="19" t="s">
        <v>901</v>
      </c>
      <c r="F207" s="19">
        <v>480</v>
      </c>
      <c r="G207" s="43">
        <v>3.76</v>
      </c>
    </row>
    <row r="208" spans="1:7" x14ac:dyDescent="0.3">
      <c r="A208" s="19">
        <v>14</v>
      </c>
      <c r="B208" s="19" t="s">
        <v>1030</v>
      </c>
      <c r="C208" s="19" t="s">
        <v>899</v>
      </c>
      <c r="D208" s="19" t="s">
        <v>1029</v>
      </c>
      <c r="E208" s="19" t="s">
        <v>901</v>
      </c>
      <c r="F208" s="19">
        <v>480</v>
      </c>
      <c r="G208" s="43">
        <v>9.18</v>
      </c>
    </row>
    <row r="209" spans="1:7" x14ac:dyDescent="0.3">
      <c r="A209" s="19">
        <v>2355</v>
      </c>
      <c r="B209" s="19" t="s">
        <v>1031</v>
      </c>
      <c r="C209" s="19" t="s">
        <v>1032</v>
      </c>
      <c r="D209" s="19" t="s">
        <v>1033</v>
      </c>
      <c r="E209" s="19" t="s">
        <v>901</v>
      </c>
      <c r="F209" s="19">
        <v>0</v>
      </c>
      <c r="G209" s="43">
        <v>0.09</v>
      </c>
    </row>
    <row r="210" spans="1:7" x14ac:dyDescent="0.3">
      <c r="A210" s="19">
        <v>3574</v>
      </c>
      <c r="B210" s="19" t="s">
        <v>1034</v>
      </c>
      <c r="C210" s="19" t="s">
        <v>1032</v>
      </c>
      <c r="D210" s="19" t="s">
        <v>1035</v>
      </c>
      <c r="E210" s="19" t="s">
        <v>901</v>
      </c>
      <c r="F210" s="19">
        <v>500</v>
      </c>
      <c r="G210" s="43">
        <v>0.37</v>
      </c>
    </row>
    <row r="211" spans="1:7" x14ac:dyDescent="0.3">
      <c r="A211" s="19">
        <v>2168</v>
      </c>
      <c r="B211" s="19" t="s">
        <v>1036</v>
      </c>
      <c r="C211" s="19" t="s">
        <v>1024</v>
      </c>
      <c r="D211" s="19" t="s">
        <v>1037</v>
      </c>
      <c r="E211" s="19" t="s">
        <v>901</v>
      </c>
      <c r="F211" s="19">
        <v>0</v>
      </c>
      <c r="G211" s="43">
        <v>31.8</v>
      </c>
    </row>
    <row r="212" spans="1:7" x14ac:dyDescent="0.3">
      <c r="A212" s="19">
        <v>2356</v>
      </c>
      <c r="B212" s="19" t="s">
        <v>1038</v>
      </c>
      <c r="C212" s="19" t="s">
        <v>1032</v>
      </c>
      <c r="D212" s="19" t="s">
        <v>1033</v>
      </c>
      <c r="E212" s="19" t="s">
        <v>815</v>
      </c>
      <c r="F212" s="19">
        <v>500</v>
      </c>
      <c r="G212" s="43">
        <v>0.37</v>
      </c>
    </row>
    <row r="213" spans="1:7" x14ac:dyDescent="0.3">
      <c r="A213" s="19">
        <v>2357</v>
      </c>
      <c r="B213" s="19" t="s">
        <v>1039</v>
      </c>
      <c r="C213" s="19" t="s">
        <v>1032</v>
      </c>
      <c r="D213" s="19" t="s">
        <v>1033</v>
      </c>
      <c r="E213" s="19" t="s">
        <v>901</v>
      </c>
      <c r="F213" s="19">
        <v>500</v>
      </c>
      <c r="G213" s="43">
        <v>0.22</v>
      </c>
    </row>
    <row r="214" spans="1:7" x14ac:dyDescent="0.3">
      <c r="A214" s="19">
        <v>3846</v>
      </c>
      <c r="B214" s="19" t="s">
        <v>1040</v>
      </c>
      <c r="C214" s="19" t="s">
        <v>1024</v>
      </c>
      <c r="D214" s="19" t="s">
        <v>1041</v>
      </c>
      <c r="E214" s="19" t="s">
        <v>815</v>
      </c>
      <c r="F214" s="19">
        <v>10</v>
      </c>
      <c r="G214" s="43">
        <v>114.9</v>
      </c>
    </row>
    <row r="215" spans="1:7" x14ac:dyDescent="0.3">
      <c r="A215" s="19">
        <v>3618</v>
      </c>
      <c r="B215" s="19" t="s">
        <v>1042</v>
      </c>
      <c r="C215" s="19" t="s">
        <v>1024</v>
      </c>
      <c r="D215" s="19" t="s">
        <v>1043</v>
      </c>
      <c r="E215" s="19" t="s">
        <v>901</v>
      </c>
      <c r="F215" s="19">
        <v>1</v>
      </c>
      <c r="G215" s="43">
        <v>89</v>
      </c>
    </row>
    <row r="216" spans="1:7" x14ac:dyDescent="0.3">
      <c r="A216" s="19">
        <v>1085</v>
      </c>
      <c r="B216" s="19" t="s">
        <v>1044</v>
      </c>
      <c r="C216" s="19" t="s">
        <v>899</v>
      </c>
      <c r="D216" s="19" t="s">
        <v>1045</v>
      </c>
      <c r="E216" s="19" t="s">
        <v>815</v>
      </c>
      <c r="F216" s="19">
        <v>1000</v>
      </c>
      <c r="G216" s="43">
        <v>2.76</v>
      </c>
    </row>
    <row r="217" spans="1:7" x14ac:dyDescent="0.3">
      <c r="A217" s="19">
        <v>1084</v>
      </c>
      <c r="B217" s="19" t="s">
        <v>1046</v>
      </c>
      <c r="C217" s="19" t="s">
        <v>899</v>
      </c>
      <c r="D217" s="19" t="s">
        <v>1045</v>
      </c>
      <c r="E217" s="19" t="s">
        <v>815</v>
      </c>
      <c r="F217" s="19">
        <v>1000</v>
      </c>
      <c r="G217" s="43">
        <v>2.76</v>
      </c>
    </row>
    <row r="218" spans="1:7" x14ac:dyDescent="0.3">
      <c r="A218" s="19">
        <v>1086</v>
      </c>
      <c r="B218" s="19" t="s">
        <v>1047</v>
      </c>
      <c r="C218" s="19" t="s">
        <v>899</v>
      </c>
      <c r="D218" s="19" t="s">
        <v>1045</v>
      </c>
      <c r="E218" s="19" t="s">
        <v>815</v>
      </c>
      <c r="F218" s="19">
        <v>1000</v>
      </c>
      <c r="G218" s="43">
        <v>2.76</v>
      </c>
    </row>
    <row r="219" spans="1:7" x14ac:dyDescent="0.3">
      <c r="A219" s="19">
        <v>1087</v>
      </c>
      <c r="B219" s="19" t="s">
        <v>1048</v>
      </c>
      <c r="C219" s="19" t="s">
        <v>899</v>
      </c>
      <c r="D219" s="19" t="s">
        <v>1045</v>
      </c>
      <c r="E219" s="19" t="s">
        <v>815</v>
      </c>
      <c r="F219" s="19">
        <v>1000</v>
      </c>
      <c r="G219" s="43">
        <v>2.76</v>
      </c>
    </row>
    <row r="220" spans="1:7" x14ac:dyDescent="0.3">
      <c r="A220" s="19">
        <v>2208</v>
      </c>
      <c r="B220" s="19" t="s">
        <v>1049</v>
      </c>
      <c r="C220" s="19" t="s">
        <v>899</v>
      </c>
      <c r="D220" s="19" t="s">
        <v>1045</v>
      </c>
      <c r="E220" s="19" t="s">
        <v>1050</v>
      </c>
      <c r="F220" s="19">
        <v>1000</v>
      </c>
      <c r="G220" s="43">
        <v>3.1</v>
      </c>
    </row>
    <row r="221" spans="1:7" x14ac:dyDescent="0.3">
      <c r="A221" s="19">
        <v>2209</v>
      </c>
      <c r="B221" s="19" t="s">
        <v>1051</v>
      </c>
      <c r="C221" s="19" t="s">
        <v>899</v>
      </c>
      <c r="D221" s="19" t="s">
        <v>1045</v>
      </c>
      <c r="E221" s="19" t="s">
        <v>815</v>
      </c>
      <c r="F221" s="19">
        <v>1000</v>
      </c>
      <c r="G221" s="43">
        <v>3.1</v>
      </c>
    </row>
    <row r="222" spans="1:7" x14ac:dyDescent="0.3">
      <c r="A222" s="19">
        <v>2210</v>
      </c>
      <c r="B222" s="19" t="s">
        <v>1052</v>
      </c>
      <c r="C222" s="19" t="s">
        <v>899</v>
      </c>
      <c r="D222" s="19" t="s">
        <v>1045</v>
      </c>
      <c r="E222" s="19" t="s">
        <v>815</v>
      </c>
      <c r="F222" s="19">
        <v>1000</v>
      </c>
      <c r="G222" s="43">
        <v>3.1</v>
      </c>
    </row>
    <row r="223" spans="1:7" x14ac:dyDescent="0.3">
      <c r="A223" s="19">
        <v>2211</v>
      </c>
      <c r="B223" s="19" t="s">
        <v>1053</v>
      </c>
      <c r="C223" s="19" t="s">
        <v>899</v>
      </c>
      <c r="D223" s="19" t="s">
        <v>1045</v>
      </c>
      <c r="E223" s="19" t="s">
        <v>1054</v>
      </c>
      <c r="F223" s="19">
        <v>1000</v>
      </c>
      <c r="G223" s="43">
        <v>3.1</v>
      </c>
    </row>
    <row r="224" spans="1:7" x14ac:dyDescent="0.3">
      <c r="A224" s="19">
        <v>2212</v>
      </c>
      <c r="B224" s="19" t="s">
        <v>1055</v>
      </c>
      <c r="C224" s="19" t="s">
        <v>899</v>
      </c>
      <c r="D224" s="19" t="s">
        <v>1045</v>
      </c>
      <c r="E224" s="19" t="s">
        <v>815</v>
      </c>
      <c r="F224" s="19">
        <v>1000</v>
      </c>
      <c r="G224" s="43">
        <v>3.1</v>
      </c>
    </row>
    <row r="225" spans="1:7" x14ac:dyDescent="0.3">
      <c r="A225" s="19">
        <v>36</v>
      </c>
      <c r="B225" s="19" t="s">
        <v>1056</v>
      </c>
      <c r="C225" s="19" t="s">
        <v>774</v>
      </c>
      <c r="D225" s="19" t="s">
        <v>1057</v>
      </c>
      <c r="E225" s="19" t="s">
        <v>1058</v>
      </c>
      <c r="F225" s="19">
        <v>0</v>
      </c>
      <c r="G225" s="43">
        <v>60.93</v>
      </c>
    </row>
    <row r="226" spans="1:7" x14ac:dyDescent="0.3">
      <c r="A226" s="19">
        <v>2446</v>
      </c>
      <c r="B226" s="19" t="s">
        <v>1059</v>
      </c>
      <c r="C226" s="19" t="s">
        <v>899</v>
      </c>
      <c r="D226" s="19" t="s">
        <v>1060</v>
      </c>
      <c r="E226" s="19" t="s">
        <v>901</v>
      </c>
      <c r="F226" s="19">
        <v>0</v>
      </c>
      <c r="G226" s="43">
        <v>15.5</v>
      </c>
    </row>
    <row r="227" spans="1:7" x14ac:dyDescent="0.3">
      <c r="A227" s="19">
        <v>2448</v>
      </c>
      <c r="B227" s="19" t="s">
        <v>1061</v>
      </c>
      <c r="C227" s="19" t="s">
        <v>899</v>
      </c>
      <c r="D227" s="19" t="s">
        <v>1062</v>
      </c>
      <c r="E227" s="19" t="s">
        <v>901</v>
      </c>
      <c r="F227" s="19">
        <v>0</v>
      </c>
      <c r="G227" s="43">
        <v>0.02</v>
      </c>
    </row>
    <row r="228" spans="1:7" x14ac:dyDescent="0.3">
      <c r="A228" s="19">
        <v>2447</v>
      </c>
      <c r="B228" s="19" t="s">
        <v>1063</v>
      </c>
      <c r="C228" s="19" t="s">
        <v>899</v>
      </c>
      <c r="D228" s="19" t="s">
        <v>1060</v>
      </c>
      <c r="E228" s="19" t="s">
        <v>901</v>
      </c>
      <c r="F228" s="19">
        <v>0</v>
      </c>
      <c r="G228" s="43">
        <v>3.25</v>
      </c>
    </row>
    <row r="229" spans="1:7" x14ac:dyDescent="0.3">
      <c r="A229" s="19">
        <v>2095</v>
      </c>
      <c r="B229" s="19" t="s">
        <v>1064</v>
      </c>
      <c r="C229" s="19" t="s">
        <v>899</v>
      </c>
      <c r="D229" s="19" t="s">
        <v>1065</v>
      </c>
      <c r="E229" s="19" t="s">
        <v>815</v>
      </c>
      <c r="F229" s="19">
        <v>1000</v>
      </c>
      <c r="G229" s="43">
        <v>0.31</v>
      </c>
    </row>
    <row r="230" spans="1:7" x14ac:dyDescent="0.3">
      <c r="A230" s="19">
        <v>3850</v>
      </c>
      <c r="B230" s="19" t="s">
        <v>1066</v>
      </c>
      <c r="C230" s="19" t="s">
        <v>899</v>
      </c>
      <c r="D230" s="19" t="s">
        <v>1067</v>
      </c>
      <c r="E230" s="19" t="s">
        <v>901</v>
      </c>
      <c r="F230" s="19">
        <v>500</v>
      </c>
      <c r="G230" s="43">
        <v>6.15</v>
      </c>
    </row>
    <row r="231" spans="1:7" x14ac:dyDescent="0.3">
      <c r="A231" s="19">
        <v>3847</v>
      </c>
      <c r="B231" s="19" t="s">
        <v>1068</v>
      </c>
      <c r="C231" s="19" t="s">
        <v>899</v>
      </c>
      <c r="D231" s="19" t="s">
        <v>1067</v>
      </c>
      <c r="E231" s="19" t="s">
        <v>815</v>
      </c>
      <c r="F231" s="19">
        <v>440</v>
      </c>
      <c r="G231" s="43">
        <v>16.899999999999999</v>
      </c>
    </row>
    <row r="232" spans="1:7" x14ac:dyDescent="0.3">
      <c r="A232" s="19">
        <v>2477</v>
      </c>
      <c r="B232" s="19" t="s">
        <v>1069</v>
      </c>
      <c r="C232" s="19" t="s">
        <v>899</v>
      </c>
      <c r="D232" s="19" t="s">
        <v>1067</v>
      </c>
      <c r="E232" s="19" t="s">
        <v>901</v>
      </c>
      <c r="F232" s="19">
        <v>1500</v>
      </c>
      <c r="G232" s="43">
        <v>2.91</v>
      </c>
    </row>
    <row r="233" spans="1:7" x14ac:dyDescent="0.3">
      <c r="A233" s="19">
        <v>2478</v>
      </c>
      <c r="B233" s="19" t="s">
        <v>1070</v>
      </c>
      <c r="C233" s="19" t="s">
        <v>899</v>
      </c>
      <c r="D233" s="19" t="s">
        <v>1067</v>
      </c>
      <c r="E233" s="19" t="s">
        <v>901</v>
      </c>
      <c r="F233" s="19">
        <v>0</v>
      </c>
      <c r="G233" s="43">
        <v>1.66</v>
      </c>
    </row>
    <row r="234" spans="1:7" x14ac:dyDescent="0.3">
      <c r="A234" s="19">
        <v>3395</v>
      </c>
      <c r="B234" s="19" t="s">
        <v>1071</v>
      </c>
      <c r="C234" s="19" t="s">
        <v>899</v>
      </c>
      <c r="D234" s="19" t="s">
        <v>920</v>
      </c>
      <c r="E234" s="19" t="s">
        <v>901</v>
      </c>
      <c r="F234" s="19">
        <v>0</v>
      </c>
      <c r="G234" s="43">
        <v>0.28000000000000003</v>
      </c>
    </row>
    <row r="235" spans="1:7" x14ac:dyDescent="0.3">
      <c r="A235" s="19">
        <v>3767</v>
      </c>
      <c r="B235" s="19" t="s">
        <v>1072</v>
      </c>
      <c r="C235" s="19" t="s">
        <v>899</v>
      </c>
      <c r="D235" s="19" t="s">
        <v>1073</v>
      </c>
      <c r="E235" s="19" t="s">
        <v>901</v>
      </c>
      <c r="F235" s="19">
        <v>0</v>
      </c>
      <c r="G235" s="43">
        <v>3.41</v>
      </c>
    </row>
    <row r="236" spans="1:7" x14ac:dyDescent="0.3">
      <c r="A236" s="19">
        <v>4028</v>
      </c>
      <c r="B236" s="19" t="s">
        <v>1074</v>
      </c>
      <c r="C236" s="19" t="s">
        <v>899</v>
      </c>
      <c r="D236" s="19" t="s">
        <v>1075</v>
      </c>
      <c r="E236" s="19" t="s">
        <v>901</v>
      </c>
      <c r="F236" s="19">
        <v>0</v>
      </c>
      <c r="G236" s="43">
        <v>1100</v>
      </c>
    </row>
    <row r="237" spans="1:7" x14ac:dyDescent="0.3">
      <c r="A237" s="19">
        <v>330</v>
      </c>
      <c r="B237" s="19" t="s">
        <v>1076</v>
      </c>
      <c r="C237" s="19" t="s">
        <v>899</v>
      </c>
      <c r="D237" s="19" t="s">
        <v>1075</v>
      </c>
      <c r="E237" s="19" t="s">
        <v>932</v>
      </c>
      <c r="F237" s="19">
        <v>0</v>
      </c>
      <c r="G237" s="43">
        <v>5.45</v>
      </c>
    </row>
    <row r="238" spans="1:7" x14ac:dyDescent="0.3">
      <c r="A238" s="19">
        <v>1093</v>
      </c>
      <c r="B238" s="19" t="s">
        <v>1077</v>
      </c>
      <c r="C238" s="19" t="s">
        <v>899</v>
      </c>
      <c r="D238" s="19" t="s">
        <v>920</v>
      </c>
      <c r="E238" s="19" t="s">
        <v>901</v>
      </c>
      <c r="F238" s="19">
        <v>0</v>
      </c>
      <c r="G238" s="43">
        <v>3.14</v>
      </c>
    </row>
    <row r="239" spans="1:7" x14ac:dyDescent="0.3">
      <c r="A239" s="19">
        <v>3747</v>
      </c>
      <c r="B239" s="19" t="s">
        <v>1078</v>
      </c>
      <c r="C239" s="19" t="s">
        <v>899</v>
      </c>
      <c r="D239" s="19" t="s">
        <v>920</v>
      </c>
      <c r="E239" s="19" t="s">
        <v>901</v>
      </c>
      <c r="F239" s="19">
        <v>0</v>
      </c>
      <c r="G239" s="43">
        <v>1.46</v>
      </c>
    </row>
    <row r="240" spans="1:7" x14ac:dyDescent="0.3">
      <c r="A240" s="19">
        <v>3991</v>
      </c>
      <c r="B240" s="19" t="s">
        <v>1079</v>
      </c>
      <c r="C240" s="19" t="s">
        <v>899</v>
      </c>
      <c r="D240" s="19" t="s">
        <v>920</v>
      </c>
      <c r="E240" s="19" t="s">
        <v>815</v>
      </c>
      <c r="F240" s="19">
        <v>0</v>
      </c>
      <c r="G240" s="43">
        <v>9.8000000000000007</v>
      </c>
    </row>
    <row r="241" spans="1:7" x14ac:dyDescent="0.3">
      <c r="A241" s="19">
        <v>3688</v>
      </c>
      <c r="B241" s="19" t="s">
        <v>1080</v>
      </c>
      <c r="C241" s="19" t="s">
        <v>899</v>
      </c>
      <c r="D241" s="19" t="s">
        <v>920</v>
      </c>
      <c r="E241" s="19" t="s">
        <v>901</v>
      </c>
      <c r="F241" s="19">
        <v>0</v>
      </c>
      <c r="G241" s="43">
        <v>600</v>
      </c>
    </row>
    <row r="242" spans="1:7" x14ac:dyDescent="0.3">
      <c r="A242" s="19">
        <v>1891</v>
      </c>
      <c r="B242" s="19" t="s">
        <v>1081</v>
      </c>
      <c r="C242" s="19" t="s">
        <v>899</v>
      </c>
      <c r="D242" s="19" t="s">
        <v>920</v>
      </c>
      <c r="E242" s="19" t="s">
        <v>901</v>
      </c>
      <c r="F242" s="19">
        <v>0</v>
      </c>
      <c r="G242" s="43">
        <v>3.07</v>
      </c>
    </row>
    <row r="243" spans="1:7" x14ac:dyDescent="0.3">
      <c r="A243" s="19">
        <v>329</v>
      </c>
      <c r="B243" s="19" t="s">
        <v>1082</v>
      </c>
      <c r="C243" s="19" t="s">
        <v>899</v>
      </c>
      <c r="D243" s="19" t="s">
        <v>920</v>
      </c>
      <c r="E243" s="19" t="s">
        <v>815</v>
      </c>
      <c r="F243" s="19">
        <v>0</v>
      </c>
      <c r="G243" s="43">
        <v>0.17</v>
      </c>
    </row>
    <row r="244" spans="1:7" x14ac:dyDescent="0.3">
      <c r="A244" s="19">
        <v>328</v>
      </c>
      <c r="B244" s="19" t="s">
        <v>1083</v>
      </c>
      <c r="C244" s="19" t="s">
        <v>899</v>
      </c>
      <c r="D244" s="19" t="s">
        <v>1084</v>
      </c>
      <c r="E244" s="19" t="s">
        <v>815</v>
      </c>
      <c r="F244" s="19">
        <v>0</v>
      </c>
      <c r="G244" s="43">
        <v>0.43</v>
      </c>
    </row>
    <row r="245" spans="1:7" x14ac:dyDescent="0.3">
      <c r="A245" s="19">
        <v>332</v>
      </c>
      <c r="B245" s="19" t="s">
        <v>1085</v>
      </c>
      <c r="C245" s="19" t="s">
        <v>899</v>
      </c>
      <c r="D245" s="19" t="s">
        <v>900</v>
      </c>
      <c r="E245" s="19" t="s">
        <v>815</v>
      </c>
      <c r="F245" s="19">
        <v>0</v>
      </c>
      <c r="G245" s="43">
        <v>2.2999999999999998</v>
      </c>
    </row>
    <row r="246" spans="1:7" x14ac:dyDescent="0.3">
      <c r="A246" s="19">
        <v>333</v>
      </c>
      <c r="B246" s="19" t="s">
        <v>1086</v>
      </c>
      <c r="C246" s="19" t="s">
        <v>899</v>
      </c>
      <c r="D246" s="19" t="s">
        <v>900</v>
      </c>
      <c r="E246" s="19" t="s">
        <v>815</v>
      </c>
      <c r="F246" s="19">
        <v>0</v>
      </c>
      <c r="G246" s="43">
        <v>2.6</v>
      </c>
    </row>
    <row r="247" spans="1:7" x14ac:dyDescent="0.3">
      <c r="A247" s="19">
        <v>3541</v>
      </c>
      <c r="B247" s="19" t="s">
        <v>1087</v>
      </c>
      <c r="C247" s="19" t="s">
        <v>899</v>
      </c>
      <c r="D247" s="19" t="s">
        <v>1088</v>
      </c>
      <c r="E247" s="19" t="s">
        <v>815</v>
      </c>
      <c r="F247" s="19">
        <v>0</v>
      </c>
      <c r="G247" s="43">
        <v>4.3</v>
      </c>
    </row>
    <row r="248" spans="1:7" x14ac:dyDescent="0.3">
      <c r="A248" s="19">
        <v>331</v>
      </c>
      <c r="B248" s="19" t="s">
        <v>1089</v>
      </c>
      <c r="C248" s="19" t="s">
        <v>899</v>
      </c>
      <c r="D248" s="19" t="s">
        <v>1067</v>
      </c>
      <c r="E248" s="19" t="s">
        <v>901</v>
      </c>
      <c r="F248" s="19">
        <v>540</v>
      </c>
      <c r="G248" s="43">
        <v>11.65</v>
      </c>
    </row>
    <row r="249" spans="1:7" x14ac:dyDescent="0.3">
      <c r="A249" s="19">
        <v>2158</v>
      </c>
      <c r="B249" s="19" t="s">
        <v>1090</v>
      </c>
      <c r="C249" s="19" t="s">
        <v>899</v>
      </c>
      <c r="D249" s="19" t="s">
        <v>900</v>
      </c>
      <c r="E249" s="19" t="s">
        <v>815</v>
      </c>
      <c r="F249" s="19">
        <v>0</v>
      </c>
      <c r="G249" s="43">
        <v>13.32</v>
      </c>
    </row>
    <row r="250" spans="1:7" x14ac:dyDescent="0.3">
      <c r="A250" s="19">
        <v>2468</v>
      </c>
      <c r="B250" s="19" t="s">
        <v>1091</v>
      </c>
      <c r="C250" s="19" t="s">
        <v>899</v>
      </c>
      <c r="D250" s="19" t="s">
        <v>900</v>
      </c>
      <c r="E250" s="19" t="s">
        <v>901</v>
      </c>
      <c r="F250" s="19">
        <v>0</v>
      </c>
      <c r="G250" s="43">
        <v>8.4</v>
      </c>
    </row>
    <row r="251" spans="1:7" x14ac:dyDescent="0.3">
      <c r="A251" s="19">
        <v>3446</v>
      </c>
      <c r="B251" s="19" t="s">
        <v>1092</v>
      </c>
      <c r="C251" s="19" t="s">
        <v>899</v>
      </c>
      <c r="D251" s="19" t="s">
        <v>900</v>
      </c>
      <c r="E251" s="19" t="s">
        <v>932</v>
      </c>
      <c r="F251" s="19">
        <v>0</v>
      </c>
      <c r="G251" s="43">
        <v>24</v>
      </c>
    </row>
    <row r="252" spans="1:7" x14ac:dyDescent="0.3">
      <c r="A252" s="19">
        <v>2470</v>
      </c>
      <c r="B252" s="19" t="s">
        <v>1093</v>
      </c>
      <c r="C252" s="19" t="s">
        <v>899</v>
      </c>
      <c r="D252" s="19" t="s">
        <v>900</v>
      </c>
      <c r="E252" s="19" t="s">
        <v>901</v>
      </c>
      <c r="F252" s="19">
        <v>1000</v>
      </c>
      <c r="G252" s="43">
        <v>15.25</v>
      </c>
    </row>
    <row r="253" spans="1:7" x14ac:dyDescent="0.3">
      <c r="A253" s="19">
        <v>2471</v>
      </c>
      <c r="B253" s="19" t="s">
        <v>1094</v>
      </c>
      <c r="C253" s="19" t="s">
        <v>899</v>
      </c>
      <c r="D253" s="19" t="s">
        <v>900</v>
      </c>
      <c r="E253" s="19" t="s">
        <v>901</v>
      </c>
      <c r="F253" s="19">
        <v>0</v>
      </c>
      <c r="G253" s="43">
        <v>0</v>
      </c>
    </row>
    <row r="254" spans="1:7" x14ac:dyDescent="0.3">
      <c r="A254" s="19">
        <v>2459</v>
      </c>
      <c r="B254" s="19" t="s">
        <v>1095</v>
      </c>
      <c r="C254" s="19" t="s">
        <v>899</v>
      </c>
      <c r="D254" s="19" t="s">
        <v>1084</v>
      </c>
      <c r="E254" s="19" t="s">
        <v>815</v>
      </c>
      <c r="F254" s="19">
        <v>0</v>
      </c>
      <c r="G254" s="43">
        <v>0.12</v>
      </c>
    </row>
    <row r="255" spans="1:7" x14ac:dyDescent="0.3">
      <c r="A255" s="19">
        <v>4012</v>
      </c>
      <c r="B255" s="19" t="s">
        <v>1096</v>
      </c>
      <c r="C255" s="19" t="s">
        <v>899</v>
      </c>
      <c r="D255" s="19" t="s">
        <v>1067</v>
      </c>
      <c r="E255" s="19" t="s">
        <v>901</v>
      </c>
      <c r="F255" s="19">
        <v>4500</v>
      </c>
      <c r="G255" s="43">
        <v>1.19</v>
      </c>
    </row>
    <row r="256" spans="1:7" x14ac:dyDescent="0.3">
      <c r="A256" s="19">
        <v>3670</v>
      </c>
      <c r="B256" s="19" t="s">
        <v>1097</v>
      </c>
      <c r="C256" s="19" t="s">
        <v>899</v>
      </c>
      <c r="D256" s="19" t="s">
        <v>920</v>
      </c>
      <c r="E256" s="19" t="s">
        <v>901</v>
      </c>
      <c r="F256" s="19">
        <v>0</v>
      </c>
      <c r="G256" s="43">
        <v>4.88</v>
      </c>
    </row>
    <row r="257" spans="1:7" x14ac:dyDescent="0.3">
      <c r="A257" s="19">
        <v>3848</v>
      </c>
      <c r="B257" s="19" t="s">
        <v>1098</v>
      </c>
      <c r="C257" s="19" t="s">
        <v>899</v>
      </c>
      <c r="D257" s="19" t="s">
        <v>1067</v>
      </c>
      <c r="E257" s="19" t="s">
        <v>901</v>
      </c>
      <c r="F257" s="19">
        <v>2000</v>
      </c>
      <c r="G257" s="43">
        <v>1.66</v>
      </c>
    </row>
    <row r="258" spans="1:7" x14ac:dyDescent="0.3">
      <c r="A258" s="19">
        <v>3851</v>
      </c>
      <c r="B258" s="19" t="s">
        <v>1099</v>
      </c>
      <c r="C258" s="19" t="s">
        <v>899</v>
      </c>
      <c r="D258" s="19" t="s">
        <v>1067</v>
      </c>
      <c r="E258" s="19" t="s">
        <v>901</v>
      </c>
      <c r="F258" s="19">
        <v>0</v>
      </c>
      <c r="G258" s="43">
        <v>0</v>
      </c>
    </row>
    <row r="259" spans="1:7" x14ac:dyDescent="0.3">
      <c r="A259" s="19">
        <v>2472</v>
      </c>
      <c r="B259" s="19" t="s">
        <v>1100</v>
      </c>
      <c r="C259" s="19" t="s">
        <v>899</v>
      </c>
      <c r="D259" s="19" t="s">
        <v>900</v>
      </c>
      <c r="E259" s="19" t="s">
        <v>901</v>
      </c>
      <c r="F259" s="19">
        <v>0</v>
      </c>
      <c r="G259" s="43">
        <v>1.47</v>
      </c>
    </row>
    <row r="260" spans="1:7" x14ac:dyDescent="0.3">
      <c r="A260" s="19">
        <v>2473</v>
      </c>
      <c r="B260" s="19" t="s">
        <v>1101</v>
      </c>
      <c r="C260" s="19" t="s">
        <v>899</v>
      </c>
      <c r="D260" s="19" t="s">
        <v>900</v>
      </c>
      <c r="E260" s="19" t="s">
        <v>901</v>
      </c>
      <c r="F260" s="19">
        <v>0</v>
      </c>
      <c r="G260" s="43">
        <v>1.47</v>
      </c>
    </row>
    <row r="261" spans="1:7" x14ac:dyDescent="0.3">
      <c r="A261" s="19">
        <v>2474</v>
      </c>
      <c r="B261" s="19" t="s">
        <v>1102</v>
      </c>
      <c r="C261" s="19" t="s">
        <v>899</v>
      </c>
      <c r="D261" s="19" t="s">
        <v>900</v>
      </c>
      <c r="E261" s="19" t="s">
        <v>901</v>
      </c>
      <c r="F261" s="19">
        <v>0</v>
      </c>
      <c r="G261" s="43">
        <v>1.47</v>
      </c>
    </row>
    <row r="262" spans="1:7" x14ac:dyDescent="0.3">
      <c r="A262" s="19">
        <v>3849</v>
      </c>
      <c r="B262" s="19" t="s">
        <v>1103</v>
      </c>
      <c r="C262" s="19" t="s">
        <v>899</v>
      </c>
      <c r="D262" s="19" t="s">
        <v>1067</v>
      </c>
      <c r="E262" s="19" t="s">
        <v>901</v>
      </c>
      <c r="F262" s="19">
        <v>3000</v>
      </c>
      <c r="G262" s="43">
        <v>1.74</v>
      </c>
    </row>
    <row r="263" spans="1:7" x14ac:dyDescent="0.3">
      <c r="A263" s="19">
        <v>1941</v>
      </c>
      <c r="B263" s="19" t="s">
        <v>1104</v>
      </c>
      <c r="C263" s="19" t="s">
        <v>899</v>
      </c>
      <c r="D263" s="19" t="s">
        <v>900</v>
      </c>
      <c r="E263" s="19" t="s">
        <v>901</v>
      </c>
      <c r="F263" s="19">
        <v>1000</v>
      </c>
      <c r="G263" s="43">
        <v>1.1499999999999999</v>
      </c>
    </row>
    <row r="264" spans="1:7" x14ac:dyDescent="0.3">
      <c r="A264" s="19">
        <v>1942</v>
      </c>
      <c r="B264" s="19" t="s">
        <v>1105</v>
      </c>
      <c r="C264" s="19" t="s">
        <v>899</v>
      </c>
      <c r="D264" s="19" t="s">
        <v>900</v>
      </c>
      <c r="E264" s="19" t="s">
        <v>901</v>
      </c>
      <c r="F264" s="19">
        <v>1000</v>
      </c>
      <c r="G264" s="43">
        <v>1.1499999999999999</v>
      </c>
    </row>
    <row r="265" spans="1:7" x14ac:dyDescent="0.3">
      <c r="A265" s="19">
        <v>1943</v>
      </c>
      <c r="B265" s="19" t="s">
        <v>1106</v>
      </c>
      <c r="C265" s="19" t="s">
        <v>899</v>
      </c>
      <c r="D265" s="19" t="s">
        <v>900</v>
      </c>
      <c r="E265" s="19" t="s">
        <v>815</v>
      </c>
      <c r="F265" s="19">
        <v>1000</v>
      </c>
      <c r="G265" s="43">
        <v>1.1499999999999999</v>
      </c>
    </row>
    <row r="266" spans="1:7" x14ac:dyDescent="0.3">
      <c r="A266" s="19">
        <v>1944</v>
      </c>
      <c r="B266" s="19" t="s">
        <v>1107</v>
      </c>
      <c r="C266" s="19" t="s">
        <v>899</v>
      </c>
      <c r="D266" s="19" t="s">
        <v>900</v>
      </c>
      <c r="E266" s="19" t="s">
        <v>815</v>
      </c>
      <c r="F266" s="19">
        <v>1000</v>
      </c>
      <c r="G266" s="43">
        <v>1.1499999999999999</v>
      </c>
    </row>
    <row r="267" spans="1:7" x14ac:dyDescent="0.3">
      <c r="A267" s="19">
        <v>1945</v>
      </c>
      <c r="B267" s="19" t="s">
        <v>1108</v>
      </c>
      <c r="C267" s="19" t="s">
        <v>899</v>
      </c>
      <c r="D267" s="19" t="s">
        <v>900</v>
      </c>
      <c r="E267" s="19" t="s">
        <v>901</v>
      </c>
      <c r="F267" s="19">
        <v>1000</v>
      </c>
      <c r="G267" s="43">
        <v>1.1499999999999999</v>
      </c>
    </row>
    <row r="268" spans="1:7" x14ac:dyDescent="0.3">
      <c r="A268" s="19">
        <v>1946</v>
      </c>
      <c r="B268" s="19" t="s">
        <v>1109</v>
      </c>
      <c r="C268" s="19" t="s">
        <v>899</v>
      </c>
      <c r="D268" s="19" t="s">
        <v>900</v>
      </c>
      <c r="E268" s="19" t="s">
        <v>932</v>
      </c>
      <c r="F268" s="19">
        <v>1000</v>
      </c>
      <c r="G268" s="43">
        <v>1.1499999999999999</v>
      </c>
    </row>
    <row r="269" spans="1:7" x14ac:dyDescent="0.3">
      <c r="A269" s="19">
        <v>1947</v>
      </c>
      <c r="B269" s="19" t="s">
        <v>1110</v>
      </c>
      <c r="C269" s="19" t="s">
        <v>899</v>
      </c>
      <c r="D269" s="19" t="s">
        <v>900</v>
      </c>
      <c r="E269" s="19" t="s">
        <v>901</v>
      </c>
      <c r="F269" s="19">
        <v>1000</v>
      </c>
      <c r="G269" s="43">
        <v>1.1499999999999999</v>
      </c>
    </row>
    <row r="270" spans="1:7" x14ac:dyDescent="0.3">
      <c r="A270" s="19">
        <v>3957</v>
      </c>
      <c r="B270" s="19" t="s">
        <v>1111</v>
      </c>
      <c r="C270" s="19" t="s">
        <v>899</v>
      </c>
      <c r="D270" s="19" t="s">
        <v>900</v>
      </c>
      <c r="E270" s="19" t="s">
        <v>901</v>
      </c>
      <c r="F270" s="19">
        <v>1000</v>
      </c>
      <c r="G270" s="43">
        <v>1.1499999999999999</v>
      </c>
    </row>
    <row r="271" spans="1:7" x14ac:dyDescent="0.3">
      <c r="A271" s="19">
        <v>1948</v>
      </c>
      <c r="B271" s="19" t="s">
        <v>1112</v>
      </c>
      <c r="C271" s="19" t="s">
        <v>899</v>
      </c>
      <c r="D271" s="19" t="s">
        <v>900</v>
      </c>
      <c r="E271" s="19" t="s">
        <v>815</v>
      </c>
      <c r="F271" s="19">
        <v>1000</v>
      </c>
      <c r="G271" s="43">
        <v>1.1499999999999999</v>
      </c>
    </row>
    <row r="272" spans="1:7" x14ac:dyDescent="0.3">
      <c r="A272" s="19">
        <v>1949</v>
      </c>
      <c r="B272" s="19" t="s">
        <v>1113</v>
      </c>
      <c r="C272" s="19" t="s">
        <v>899</v>
      </c>
      <c r="D272" s="19" t="s">
        <v>900</v>
      </c>
      <c r="E272" s="19" t="s">
        <v>901</v>
      </c>
      <c r="F272" s="19">
        <v>1000</v>
      </c>
      <c r="G272" s="43">
        <v>1.1499999999999999</v>
      </c>
    </row>
    <row r="273" spans="1:7" x14ac:dyDescent="0.3">
      <c r="A273" s="19">
        <v>1950</v>
      </c>
      <c r="B273" s="19" t="s">
        <v>1114</v>
      </c>
      <c r="C273" s="19" t="s">
        <v>899</v>
      </c>
      <c r="D273" s="19" t="s">
        <v>900</v>
      </c>
      <c r="E273" s="19" t="s">
        <v>901</v>
      </c>
      <c r="F273" s="19">
        <v>1000</v>
      </c>
      <c r="G273" s="43">
        <v>1.1499999999999999</v>
      </c>
    </row>
    <row r="274" spans="1:7" x14ac:dyDescent="0.3">
      <c r="A274" s="19">
        <v>2151</v>
      </c>
      <c r="B274" s="19" t="s">
        <v>1115</v>
      </c>
      <c r="C274" s="19" t="s">
        <v>899</v>
      </c>
      <c r="D274" s="19" t="s">
        <v>900</v>
      </c>
      <c r="E274" s="19" t="s">
        <v>815</v>
      </c>
      <c r="F274" s="19">
        <v>1000</v>
      </c>
      <c r="G274" s="43">
        <v>7.6</v>
      </c>
    </row>
    <row r="275" spans="1:7" x14ac:dyDescent="0.3">
      <c r="A275" s="19">
        <v>3782</v>
      </c>
      <c r="B275" s="19" t="s">
        <v>1116</v>
      </c>
      <c r="C275" s="19" t="s">
        <v>899</v>
      </c>
      <c r="D275" s="19" t="s">
        <v>1117</v>
      </c>
      <c r="E275" s="19" t="s">
        <v>1118</v>
      </c>
      <c r="F275" s="19">
        <v>0</v>
      </c>
      <c r="G275" s="43">
        <v>0.72</v>
      </c>
    </row>
    <row r="276" spans="1:7" x14ac:dyDescent="0.3">
      <c r="A276" s="19">
        <v>2096</v>
      </c>
      <c r="B276" s="19" t="s">
        <v>1119</v>
      </c>
      <c r="C276" s="19" t="s">
        <v>899</v>
      </c>
      <c r="D276" s="19" t="s">
        <v>1065</v>
      </c>
      <c r="E276" s="19" t="s">
        <v>815</v>
      </c>
      <c r="F276" s="19">
        <v>1000</v>
      </c>
      <c r="G276" s="43">
        <v>0.23</v>
      </c>
    </row>
    <row r="277" spans="1:7" x14ac:dyDescent="0.3">
      <c r="A277" s="19">
        <v>3973</v>
      </c>
      <c r="B277" s="19" t="s">
        <v>1120</v>
      </c>
      <c r="C277" s="19" t="s">
        <v>899</v>
      </c>
      <c r="D277" s="19" t="s">
        <v>1117</v>
      </c>
      <c r="E277" s="19" t="s">
        <v>901</v>
      </c>
      <c r="F277" s="19">
        <v>0</v>
      </c>
      <c r="G277" s="43">
        <v>0.41</v>
      </c>
    </row>
    <row r="278" spans="1:7" x14ac:dyDescent="0.3">
      <c r="A278" s="19">
        <v>2169</v>
      </c>
      <c r="B278" s="19" t="s">
        <v>1121</v>
      </c>
      <c r="C278" s="19" t="s">
        <v>899</v>
      </c>
      <c r="D278" s="19" t="s">
        <v>1122</v>
      </c>
      <c r="E278" s="19" t="s">
        <v>901</v>
      </c>
      <c r="F278" s="19">
        <v>0</v>
      </c>
      <c r="G278" s="43">
        <v>0.3</v>
      </c>
    </row>
    <row r="279" spans="1:7" x14ac:dyDescent="0.3">
      <c r="A279" s="19">
        <v>475</v>
      </c>
      <c r="B279" s="19" t="s">
        <v>1123</v>
      </c>
      <c r="C279" s="19" t="s">
        <v>1024</v>
      </c>
      <c r="D279" s="19" t="s">
        <v>1025</v>
      </c>
      <c r="E279" s="19" t="s">
        <v>815</v>
      </c>
      <c r="F279" s="19">
        <v>0.32</v>
      </c>
      <c r="G279" s="43">
        <v>830</v>
      </c>
    </row>
    <row r="280" spans="1:7" x14ac:dyDescent="0.3">
      <c r="A280" s="19">
        <v>2840</v>
      </c>
      <c r="B280" s="19" t="s">
        <v>1124</v>
      </c>
      <c r="C280" s="19" t="s">
        <v>899</v>
      </c>
      <c r="D280" s="19" t="s">
        <v>1025</v>
      </c>
      <c r="E280" s="19" t="s">
        <v>815</v>
      </c>
      <c r="F280" s="19">
        <v>320</v>
      </c>
      <c r="G280" s="43">
        <v>0.83</v>
      </c>
    </row>
    <row r="281" spans="1:7" x14ac:dyDescent="0.3">
      <c r="A281" s="19">
        <v>3671</v>
      </c>
      <c r="B281" s="19" t="s">
        <v>1125</v>
      </c>
      <c r="C281" s="19" t="s">
        <v>899</v>
      </c>
      <c r="D281" s="19" t="s">
        <v>920</v>
      </c>
      <c r="E281" s="19" t="s">
        <v>901</v>
      </c>
      <c r="F281" s="19">
        <v>0</v>
      </c>
      <c r="G281" s="43">
        <v>6.7</v>
      </c>
    </row>
    <row r="282" spans="1:7" x14ac:dyDescent="0.3">
      <c r="A282" s="19">
        <v>2332</v>
      </c>
      <c r="B282" s="19" t="s">
        <v>1126</v>
      </c>
      <c r="C282" s="19" t="s">
        <v>899</v>
      </c>
      <c r="D282" s="19" t="s">
        <v>1062</v>
      </c>
      <c r="E282" s="19" t="s">
        <v>901</v>
      </c>
      <c r="F282" s="19">
        <v>0</v>
      </c>
      <c r="G282" s="43">
        <v>3.42</v>
      </c>
    </row>
    <row r="283" spans="1:7" x14ac:dyDescent="0.3">
      <c r="A283" s="19">
        <v>2333</v>
      </c>
      <c r="B283" s="19" t="s">
        <v>1127</v>
      </c>
      <c r="C283" s="19" t="s">
        <v>899</v>
      </c>
      <c r="D283" s="19" t="s">
        <v>1062</v>
      </c>
      <c r="E283" s="19" t="s">
        <v>901</v>
      </c>
      <c r="F283" s="19">
        <v>0</v>
      </c>
      <c r="G283" s="43">
        <v>1.75</v>
      </c>
    </row>
    <row r="284" spans="1:7" x14ac:dyDescent="0.3">
      <c r="A284" s="19">
        <v>3453</v>
      </c>
      <c r="B284" s="19" t="s">
        <v>1128</v>
      </c>
      <c r="C284" s="19" t="s">
        <v>899</v>
      </c>
      <c r="D284" s="19" t="s">
        <v>1129</v>
      </c>
      <c r="E284" s="19" t="s">
        <v>901</v>
      </c>
      <c r="F284" s="19">
        <v>0</v>
      </c>
      <c r="G284" s="43">
        <v>1.65</v>
      </c>
    </row>
    <row r="285" spans="1:7" x14ac:dyDescent="0.3">
      <c r="A285" s="19">
        <v>3753</v>
      </c>
      <c r="B285" s="19" t="s">
        <v>1130</v>
      </c>
      <c r="C285" s="19" t="s">
        <v>899</v>
      </c>
      <c r="D285" s="19" t="s">
        <v>1129</v>
      </c>
      <c r="E285" s="19" t="s">
        <v>901</v>
      </c>
      <c r="F285" s="19">
        <v>500</v>
      </c>
      <c r="G285" s="43">
        <v>0.9</v>
      </c>
    </row>
    <row r="286" spans="1:7" x14ac:dyDescent="0.3">
      <c r="A286" s="19">
        <v>90</v>
      </c>
      <c r="B286" s="19" t="s">
        <v>1131</v>
      </c>
      <c r="C286" s="19" t="s">
        <v>1032</v>
      </c>
      <c r="D286" s="19" t="s">
        <v>1033</v>
      </c>
      <c r="E286" s="19" t="s">
        <v>815</v>
      </c>
      <c r="F286" s="19">
        <v>0</v>
      </c>
      <c r="G286" s="43">
        <v>0.23</v>
      </c>
    </row>
    <row r="287" spans="1:7" x14ac:dyDescent="0.3">
      <c r="A287" s="19">
        <v>2486</v>
      </c>
      <c r="B287" s="19" t="s">
        <v>1132</v>
      </c>
      <c r="C287" s="19" t="s">
        <v>899</v>
      </c>
      <c r="D287" s="19" t="s">
        <v>920</v>
      </c>
      <c r="E287" s="19" t="s">
        <v>815</v>
      </c>
      <c r="F287" s="19">
        <v>4000</v>
      </c>
      <c r="G287" s="43">
        <v>1.05</v>
      </c>
    </row>
    <row r="288" spans="1:7" x14ac:dyDescent="0.3">
      <c r="A288" s="19">
        <v>777</v>
      </c>
      <c r="B288" s="19" t="s">
        <v>1133</v>
      </c>
      <c r="C288" s="19" t="s">
        <v>899</v>
      </c>
      <c r="D288" s="19" t="s">
        <v>1134</v>
      </c>
      <c r="E288" s="19" t="s">
        <v>901</v>
      </c>
      <c r="F288" s="19">
        <v>0</v>
      </c>
      <c r="G288" s="43">
        <v>45.88</v>
      </c>
    </row>
    <row r="289" spans="1:7" x14ac:dyDescent="0.3">
      <c r="A289" s="19">
        <v>68</v>
      </c>
      <c r="B289" s="19" t="s">
        <v>1135</v>
      </c>
      <c r="C289" s="19" t="s">
        <v>849</v>
      </c>
      <c r="D289" s="19" t="s">
        <v>1136</v>
      </c>
      <c r="E289" s="19" t="s">
        <v>901</v>
      </c>
      <c r="F289" s="19">
        <v>16</v>
      </c>
      <c r="G289" s="43">
        <v>87</v>
      </c>
    </row>
    <row r="290" spans="1:7" x14ac:dyDescent="0.3">
      <c r="A290" s="19">
        <v>642</v>
      </c>
      <c r="B290" s="19" t="s">
        <v>1137</v>
      </c>
      <c r="C290" s="19" t="s">
        <v>856</v>
      </c>
      <c r="D290" s="19" t="s">
        <v>1138</v>
      </c>
      <c r="E290" s="19" t="s">
        <v>901</v>
      </c>
      <c r="F290" s="19">
        <v>1</v>
      </c>
      <c r="G290" s="43">
        <v>637.20000000000005</v>
      </c>
    </row>
    <row r="291" spans="1:7" x14ac:dyDescent="0.3">
      <c r="A291" s="19">
        <v>1211</v>
      </c>
      <c r="B291" s="19" t="s">
        <v>1139</v>
      </c>
      <c r="C291" s="19" t="s">
        <v>1032</v>
      </c>
      <c r="D291" s="19" t="s">
        <v>1140</v>
      </c>
      <c r="E291" s="19" t="s">
        <v>901</v>
      </c>
      <c r="F291" s="19">
        <v>0</v>
      </c>
      <c r="G291" s="43">
        <v>5.09</v>
      </c>
    </row>
    <row r="292" spans="1:7" x14ac:dyDescent="0.3">
      <c r="A292" s="19">
        <v>3529</v>
      </c>
      <c r="B292" s="19" t="s">
        <v>1141</v>
      </c>
      <c r="C292" s="19" t="s">
        <v>856</v>
      </c>
      <c r="D292" s="19" t="s">
        <v>854</v>
      </c>
      <c r="E292" s="19" t="s">
        <v>901</v>
      </c>
      <c r="F292" s="19">
        <v>0</v>
      </c>
      <c r="G292" s="43">
        <v>0</v>
      </c>
    </row>
    <row r="293" spans="1:7" x14ac:dyDescent="0.3">
      <c r="A293" s="19">
        <v>4008</v>
      </c>
      <c r="B293" s="19" t="s">
        <v>1142</v>
      </c>
      <c r="C293" s="19" t="s">
        <v>774</v>
      </c>
      <c r="D293" s="19" t="s">
        <v>1143</v>
      </c>
      <c r="E293" s="19" t="s">
        <v>1058</v>
      </c>
      <c r="F293" s="19">
        <v>22</v>
      </c>
      <c r="G293" s="43">
        <v>17.5</v>
      </c>
    </row>
    <row r="294" spans="1:7" x14ac:dyDescent="0.3">
      <c r="A294" s="19">
        <v>3447</v>
      </c>
      <c r="B294" s="19" t="s">
        <v>1144</v>
      </c>
      <c r="C294" s="19" t="s">
        <v>899</v>
      </c>
      <c r="D294" s="19" t="s">
        <v>1145</v>
      </c>
      <c r="E294" s="19" t="s">
        <v>901</v>
      </c>
      <c r="F294" s="19">
        <v>0</v>
      </c>
      <c r="G294" s="43">
        <v>0.04</v>
      </c>
    </row>
    <row r="295" spans="1:7" x14ac:dyDescent="0.3">
      <c r="A295" s="19">
        <v>3297</v>
      </c>
      <c r="B295" s="19" t="s">
        <v>1146</v>
      </c>
      <c r="C295" s="19" t="s">
        <v>1024</v>
      </c>
      <c r="D295" s="19" t="s">
        <v>1037</v>
      </c>
      <c r="E295" s="19" t="s">
        <v>901</v>
      </c>
      <c r="F295" s="19">
        <v>0</v>
      </c>
      <c r="G295" s="43">
        <v>118</v>
      </c>
    </row>
    <row r="296" spans="1:7" x14ac:dyDescent="0.3">
      <c r="A296" s="19">
        <v>2170</v>
      </c>
      <c r="B296" s="19" t="s">
        <v>1147</v>
      </c>
      <c r="C296" s="19" t="s">
        <v>1024</v>
      </c>
      <c r="D296" s="19" t="s">
        <v>1037</v>
      </c>
      <c r="E296" s="19" t="s">
        <v>901</v>
      </c>
      <c r="F296" s="19">
        <v>0</v>
      </c>
      <c r="G296" s="43">
        <v>118</v>
      </c>
    </row>
    <row r="297" spans="1:7" x14ac:dyDescent="0.3">
      <c r="A297" s="19">
        <v>3797</v>
      </c>
      <c r="B297" s="19" t="s">
        <v>1148</v>
      </c>
      <c r="C297" s="19" t="s">
        <v>1024</v>
      </c>
      <c r="D297" s="19" t="s">
        <v>1037</v>
      </c>
      <c r="E297" s="19" t="s">
        <v>901</v>
      </c>
      <c r="F297" s="19">
        <v>0</v>
      </c>
      <c r="G297" s="43">
        <v>118</v>
      </c>
    </row>
    <row r="298" spans="1:7" x14ac:dyDescent="0.3">
      <c r="A298" s="19">
        <v>3298</v>
      </c>
      <c r="B298" s="19" t="s">
        <v>1149</v>
      </c>
      <c r="C298" s="19" t="s">
        <v>1024</v>
      </c>
      <c r="D298" s="19" t="s">
        <v>1037</v>
      </c>
      <c r="E298" s="19" t="s">
        <v>901</v>
      </c>
      <c r="F298" s="19">
        <v>0</v>
      </c>
      <c r="G298" s="43">
        <v>118</v>
      </c>
    </row>
    <row r="299" spans="1:7" x14ac:dyDescent="0.3">
      <c r="A299" s="19">
        <v>2172</v>
      </c>
      <c r="B299" s="19" t="s">
        <v>1150</v>
      </c>
      <c r="C299" s="19" t="s">
        <v>1024</v>
      </c>
      <c r="D299" s="19" t="s">
        <v>1037</v>
      </c>
      <c r="E299" s="19" t="s">
        <v>901</v>
      </c>
      <c r="F299" s="19">
        <v>0</v>
      </c>
      <c r="G299" s="43">
        <v>137.28</v>
      </c>
    </row>
    <row r="300" spans="1:7" x14ac:dyDescent="0.3">
      <c r="A300" s="19">
        <v>3299</v>
      </c>
      <c r="B300" s="19" t="s">
        <v>1151</v>
      </c>
      <c r="C300" s="19" t="s">
        <v>1024</v>
      </c>
      <c r="D300" s="19" t="s">
        <v>1037</v>
      </c>
      <c r="E300" s="19" t="s">
        <v>901</v>
      </c>
      <c r="F300" s="19">
        <v>0</v>
      </c>
      <c r="G300" s="43">
        <v>118</v>
      </c>
    </row>
    <row r="301" spans="1:7" x14ac:dyDescent="0.3">
      <c r="A301" s="19">
        <v>4014</v>
      </c>
      <c r="B301" s="19" t="s">
        <v>1152</v>
      </c>
      <c r="C301" s="19" t="s">
        <v>899</v>
      </c>
      <c r="D301" s="19" t="s">
        <v>1153</v>
      </c>
      <c r="E301" s="19" t="s">
        <v>1154</v>
      </c>
      <c r="F301" s="19">
        <v>100</v>
      </c>
      <c r="G301" s="43">
        <v>1</v>
      </c>
    </row>
    <row r="302" spans="1:7" x14ac:dyDescent="0.3">
      <c r="A302" s="19">
        <v>1952</v>
      </c>
      <c r="B302" s="19" t="s">
        <v>1155</v>
      </c>
      <c r="C302" s="19" t="s">
        <v>899</v>
      </c>
      <c r="D302" s="19" t="s">
        <v>900</v>
      </c>
      <c r="E302" s="19" t="s">
        <v>815</v>
      </c>
      <c r="F302" s="19">
        <v>3000</v>
      </c>
      <c r="G302" s="43">
        <v>0.44</v>
      </c>
    </row>
    <row r="303" spans="1:7" x14ac:dyDescent="0.3">
      <c r="A303" s="19">
        <v>2035</v>
      </c>
      <c r="B303" s="19" t="s">
        <v>1156</v>
      </c>
      <c r="C303" s="19" t="s">
        <v>899</v>
      </c>
      <c r="D303" s="19" t="s">
        <v>1033</v>
      </c>
      <c r="E303" s="19" t="s">
        <v>815</v>
      </c>
      <c r="F303" s="19">
        <v>1000</v>
      </c>
      <c r="G303" s="43">
        <v>0.66</v>
      </c>
    </row>
    <row r="304" spans="1:7" x14ac:dyDescent="0.3">
      <c r="A304" s="19">
        <v>2106</v>
      </c>
      <c r="B304" s="19" t="s">
        <v>1157</v>
      </c>
      <c r="C304" s="19" t="s">
        <v>899</v>
      </c>
      <c r="D304" s="19" t="s">
        <v>1158</v>
      </c>
      <c r="E304" s="19" t="s">
        <v>815</v>
      </c>
      <c r="F304" s="19">
        <v>1000</v>
      </c>
      <c r="G304" s="43">
        <v>1.02</v>
      </c>
    </row>
    <row r="305" spans="1:7" x14ac:dyDescent="0.3">
      <c r="A305" s="19">
        <v>3918</v>
      </c>
      <c r="B305" s="19" t="s">
        <v>1159</v>
      </c>
      <c r="C305" s="19" t="s">
        <v>899</v>
      </c>
      <c r="D305" s="19" t="s">
        <v>1160</v>
      </c>
      <c r="E305" s="19" t="s">
        <v>1161</v>
      </c>
      <c r="F305" s="19">
        <v>4224</v>
      </c>
      <c r="G305" s="43">
        <v>0.27</v>
      </c>
    </row>
    <row r="306" spans="1:7" x14ac:dyDescent="0.3">
      <c r="A306" s="19">
        <v>3801</v>
      </c>
      <c r="B306" s="19" t="s">
        <v>1162</v>
      </c>
      <c r="C306" s="19" t="s">
        <v>899</v>
      </c>
      <c r="D306" s="19" t="s">
        <v>1163</v>
      </c>
      <c r="E306" s="19" t="s">
        <v>1164</v>
      </c>
      <c r="F306" s="19">
        <v>0</v>
      </c>
      <c r="G306" s="43">
        <v>0.28999999999999998</v>
      </c>
    </row>
    <row r="307" spans="1:7" x14ac:dyDescent="0.3">
      <c r="A307" s="19">
        <v>3802</v>
      </c>
      <c r="B307" s="19" t="s">
        <v>1165</v>
      </c>
      <c r="C307" s="19" t="s">
        <v>899</v>
      </c>
      <c r="D307" s="19" t="s">
        <v>1163</v>
      </c>
      <c r="E307" s="19" t="s">
        <v>1164</v>
      </c>
      <c r="F307" s="19">
        <v>0</v>
      </c>
      <c r="G307" s="43">
        <v>0.28999999999999998</v>
      </c>
    </row>
    <row r="308" spans="1:7" x14ac:dyDescent="0.3">
      <c r="A308" s="19">
        <v>3803</v>
      </c>
      <c r="B308" s="19" t="s">
        <v>1166</v>
      </c>
      <c r="C308" s="19" t="s">
        <v>899</v>
      </c>
      <c r="D308" s="19" t="s">
        <v>1163</v>
      </c>
      <c r="E308" s="19" t="s">
        <v>1164</v>
      </c>
      <c r="F308" s="19">
        <v>0</v>
      </c>
      <c r="G308" s="43">
        <v>0.28999999999999998</v>
      </c>
    </row>
    <row r="309" spans="1:7" x14ac:dyDescent="0.3">
      <c r="A309" s="19">
        <v>3813</v>
      </c>
      <c r="B309" s="19" t="s">
        <v>1167</v>
      </c>
      <c r="C309" s="19" t="s">
        <v>899</v>
      </c>
      <c r="D309" s="19" t="s">
        <v>1163</v>
      </c>
      <c r="E309" s="19" t="s">
        <v>1164</v>
      </c>
      <c r="F309" s="19">
        <v>0</v>
      </c>
      <c r="G309" s="43">
        <v>0.28999999999999998</v>
      </c>
    </row>
    <row r="310" spans="1:7" x14ac:dyDescent="0.3">
      <c r="A310" s="19">
        <v>3804</v>
      </c>
      <c r="B310" s="19" t="s">
        <v>1168</v>
      </c>
      <c r="C310" s="19" t="s">
        <v>899</v>
      </c>
      <c r="D310" s="19" t="s">
        <v>1163</v>
      </c>
      <c r="E310" s="19" t="s">
        <v>1164</v>
      </c>
      <c r="F310" s="19">
        <v>0</v>
      </c>
      <c r="G310" s="43">
        <v>0.28999999999999998</v>
      </c>
    </row>
    <row r="311" spans="1:7" x14ac:dyDescent="0.3">
      <c r="A311" s="19">
        <v>3805</v>
      </c>
      <c r="B311" s="19" t="s">
        <v>1169</v>
      </c>
      <c r="C311" s="19" t="s">
        <v>899</v>
      </c>
      <c r="D311" s="19" t="s">
        <v>1163</v>
      </c>
      <c r="E311" s="19" t="s">
        <v>1164</v>
      </c>
      <c r="F311" s="19">
        <v>0</v>
      </c>
      <c r="G311" s="43">
        <v>0.28999999999999998</v>
      </c>
    </row>
    <row r="312" spans="1:7" x14ac:dyDescent="0.3">
      <c r="A312" s="19">
        <v>3806</v>
      </c>
      <c r="B312" s="19" t="s">
        <v>1170</v>
      </c>
      <c r="C312" s="19" t="s">
        <v>899</v>
      </c>
      <c r="D312" s="19" t="s">
        <v>1163</v>
      </c>
      <c r="E312" s="19" t="s">
        <v>1164</v>
      </c>
      <c r="F312" s="19">
        <v>0</v>
      </c>
      <c r="G312" s="43">
        <v>0.28999999999999998</v>
      </c>
    </row>
    <row r="313" spans="1:7" x14ac:dyDescent="0.3">
      <c r="A313" s="19">
        <v>3807</v>
      </c>
      <c r="B313" s="19" t="s">
        <v>1171</v>
      </c>
      <c r="C313" s="19" t="s">
        <v>899</v>
      </c>
      <c r="D313" s="19" t="s">
        <v>1163</v>
      </c>
      <c r="E313" s="19" t="s">
        <v>1164</v>
      </c>
      <c r="F313" s="19">
        <v>0</v>
      </c>
      <c r="G313" s="43">
        <v>0.28999999999999998</v>
      </c>
    </row>
    <row r="314" spans="1:7" x14ac:dyDescent="0.3">
      <c r="A314" s="19">
        <v>3808</v>
      </c>
      <c r="B314" s="19" t="s">
        <v>1172</v>
      </c>
      <c r="C314" s="19" t="s">
        <v>899</v>
      </c>
      <c r="D314" s="19" t="s">
        <v>1163</v>
      </c>
      <c r="E314" s="19" t="s">
        <v>1164</v>
      </c>
      <c r="F314" s="19">
        <v>0</v>
      </c>
      <c r="G314" s="43">
        <v>0.28999999999999998</v>
      </c>
    </row>
    <row r="315" spans="1:7" x14ac:dyDescent="0.3">
      <c r="A315" s="19">
        <v>3810</v>
      </c>
      <c r="B315" s="19" t="s">
        <v>1173</v>
      </c>
      <c r="C315" s="19" t="s">
        <v>899</v>
      </c>
      <c r="D315" s="19" t="s">
        <v>1163</v>
      </c>
      <c r="E315" s="19" t="s">
        <v>1164</v>
      </c>
      <c r="F315" s="19">
        <v>0</v>
      </c>
      <c r="G315" s="43">
        <v>0.28999999999999998</v>
      </c>
    </row>
    <row r="316" spans="1:7" x14ac:dyDescent="0.3">
      <c r="A316" s="19">
        <v>3809</v>
      </c>
      <c r="B316" s="19" t="s">
        <v>1174</v>
      </c>
      <c r="C316" s="19" t="s">
        <v>899</v>
      </c>
      <c r="D316" s="19" t="s">
        <v>1163</v>
      </c>
      <c r="E316" s="19" t="s">
        <v>1164</v>
      </c>
      <c r="F316" s="19">
        <v>0</v>
      </c>
      <c r="G316" s="43">
        <v>0.28999999999999998</v>
      </c>
    </row>
    <row r="317" spans="1:7" x14ac:dyDescent="0.3">
      <c r="A317" s="19">
        <v>3811</v>
      </c>
      <c r="B317" s="19" t="s">
        <v>1175</v>
      </c>
      <c r="C317" s="19" t="s">
        <v>899</v>
      </c>
      <c r="D317" s="19" t="s">
        <v>1163</v>
      </c>
      <c r="E317" s="19" t="s">
        <v>1164</v>
      </c>
      <c r="F317" s="19">
        <v>0</v>
      </c>
      <c r="G317" s="43">
        <v>0.28999999999999998</v>
      </c>
    </row>
    <row r="318" spans="1:7" x14ac:dyDescent="0.3">
      <c r="A318" s="19">
        <v>3812</v>
      </c>
      <c r="B318" s="19" t="s">
        <v>1176</v>
      </c>
      <c r="C318" s="19" t="s">
        <v>899</v>
      </c>
      <c r="D318" s="19" t="s">
        <v>1163</v>
      </c>
      <c r="E318" s="19" t="s">
        <v>1164</v>
      </c>
      <c r="F318" s="19">
        <v>0</v>
      </c>
      <c r="G318" s="43">
        <v>0.28999999999999998</v>
      </c>
    </row>
    <row r="319" spans="1:7" x14ac:dyDescent="0.3">
      <c r="A319" s="19">
        <v>394</v>
      </c>
      <c r="B319" s="19" t="s">
        <v>1177</v>
      </c>
      <c r="C319" s="19" t="s">
        <v>899</v>
      </c>
      <c r="D319" s="19" t="s">
        <v>1178</v>
      </c>
      <c r="E319" s="19" t="s">
        <v>815</v>
      </c>
      <c r="F319" s="19">
        <v>33030</v>
      </c>
      <c r="G319" s="43">
        <v>0.59</v>
      </c>
    </row>
    <row r="320" spans="1:7" x14ac:dyDescent="0.3">
      <c r="A320" s="19">
        <v>2001</v>
      </c>
      <c r="B320" s="19" t="s">
        <v>1179</v>
      </c>
      <c r="C320" s="19" t="s">
        <v>899</v>
      </c>
      <c r="D320" s="19" t="s">
        <v>1033</v>
      </c>
      <c r="E320" s="19" t="s">
        <v>1161</v>
      </c>
      <c r="F320" s="19">
        <v>1053</v>
      </c>
      <c r="G320" s="43">
        <v>1.1399999999999999</v>
      </c>
    </row>
    <row r="321" spans="1:7" x14ac:dyDescent="0.3">
      <c r="A321" s="19">
        <v>3763</v>
      </c>
      <c r="B321" s="19" t="s">
        <v>1180</v>
      </c>
      <c r="C321" s="19" t="s">
        <v>899</v>
      </c>
      <c r="D321" s="19" t="s">
        <v>1178</v>
      </c>
      <c r="E321" s="19" t="s">
        <v>901</v>
      </c>
      <c r="F321" s="19">
        <v>1000</v>
      </c>
      <c r="G321" s="43">
        <v>0.44</v>
      </c>
    </row>
    <row r="322" spans="1:7" x14ac:dyDescent="0.3">
      <c r="A322" s="19">
        <v>2152</v>
      </c>
      <c r="B322" s="19" t="s">
        <v>1181</v>
      </c>
      <c r="C322" s="19" t="s">
        <v>899</v>
      </c>
      <c r="D322" s="19" t="s">
        <v>1178</v>
      </c>
      <c r="E322" s="19" t="s">
        <v>901</v>
      </c>
      <c r="F322" s="19">
        <v>0</v>
      </c>
      <c r="G322" s="43">
        <v>6.99</v>
      </c>
    </row>
    <row r="323" spans="1:7" x14ac:dyDescent="0.3">
      <c r="A323" s="19">
        <v>2213</v>
      </c>
      <c r="B323" s="19" t="s">
        <v>1182</v>
      </c>
      <c r="C323" s="19" t="s">
        <v>899</v>
      </c>
      <c r="D323" s="19" t="s">
        <v>1025</v>
      </c>
      <c r="E323" s="19" t="s">
        <v>901</v>
      </c>
      <c r="F323" s="19">
        <v>0</v>
      </c>
      <c r="G323" s="43">
        <v>1.1499999999999999</v>
      </c>
    </row>
    <row r="324" spans="1:7" x14ac:dyDescent="0.3">
      <c r="A324" s="19">
        <v>1606</v>
      </c>
      <c r="B324" s="19" t="s">
        <v>1183</v>
      </c>
      <c r="C324" s="19" t="s">
        <v>1024</v>
      </c>
      <c r="D324" s="19" t="s">
        <v>1025</v>
      </c>
      <c r="E324" s="19" t="s">
        <v>815</v>
      </c>
      <c r="F324" s="19">
        <v>0</v>
      </c>
      <c r="G324" s="43">
        <v>75.48</v>
      </c>
    </row>
    <row r="325" spans="1:7" x14ac:dyDescent="0.3">
      <c r="A325" s="19">
        <v>77</v>
      </c>
      <c r="B325" s="19" t="s">
        <v>1184</v>
      </c>
      <c r="C325" s="19" t="s">
        <v>1024</v>
      </c>
      <c r="D325" s="19" t="s">
        <v>1025</v>
      </c>
      <c r="E325" s="19" t="s">
        <v>1161</v>
      </c>
      <c r="F325" s="19">
        <v>0</v>
      </c>
      <c r="G325" s="43">
        <v>2372.58</v>
      </c>
    </row>
    <row r="326" spans="1:7" x14ac:dyDescent="0.3">
      <c r="A326" s="19">
        <v>2108</v>
      </c>
      <c r="B326" s="19" t="s">
        <v>1185</v>
      </c>
      <c r="C326" s="19" t="s">
        <v>899</v>
      </c>
      <c r="D326" s="19" t="s">
        <v>1186</v>
      </c>
      <c r="E326" s="19" t="s">
        <v>1161</v>
      </c>
      <c r="F326" s="19">
        <v>5040</v>
      </c>
      <c r="G326" s="43">
        <v>2.08</v>
      </c>
    </row>
    <row r="327" spans="1:7" x14ac:dyDescent="0.3">
      <c r="A327" s="19">
        <v>3332</v>
      </c>
      <c r="B327" s="19" t="s">
        <v>1187</v>
      </c>
      <c r="C327" s="19" t="s">
        <v>899</v>
      </c>
      <c r="D327" s="19" t="s">
        <v>1178</v>
      </c>
      <c r="E327" s="19" t="s">
        <v>815</v>
      </c>
      <c r="F327" s="19">
        <v>2100</v>
      </c>
      <c r="G327" s="43">
        <v>1.3</v>
      </c>
    </row>
    <row r="328" spans="1:7" x14ac:dyDescent="0.3">
      <c r="A328" s="19">
        <v>3999</v>
      </c>
      <c r="B328" s="19" t="s">
        <v>1188</v>
      </c>
      <c r="C328" s="19" t="s">
        <v>1024</v>
      </c>
      <c r="D328" s="19" t="s">
        <v>1189</v>
      </c>
      <c r="E328" s="19" t="s">
        <v>901</v>
      </c>
      <c r="F328" s="19">
        <v>3.1520000000000001</v>
      </c>
      <c r="G328" s="43">
        <v>950</v>
      </c>
    </row>
    <row r="329" spans="1:7" x14ac:dyDescent="0.3">
      <c r="A329" s="19">
        <v>2008</v>
      </c>
      <c r="B329" s="19" t="s">
        <v>1190</v>
      </c>
      <c r="C329" s="19" t="s">
        <v>1024</v>
      </c>
      <c r="D329" s="19" t="s">
        <v>1191</v>
      </c>
      <c r="E329" s="19" t="s">
        <v>901</v>
      </c>
      <c r="F329" s="19">
        <v>0</v>
      </c>
      <c r="G329" s="43">
        <v>890</v>
      </c>
    </row>
    <row r="330" spans="1:7" x14ac:dyDescent="0.3">
      <c r="A330" s="19">
        <v>2005</v>
      </c>
      <c r="B330" s="19" t="s">
        <v>1192</v>
      </c>
      <c r="C330" s="19" t="s">
        <v>1024</v>
      </c>
      <c r="D330" s="19" t="s">
        <v>1191</v>
      </c>
      <c r="E330" s="19" t="s">
        <v>901</v>
      </c>
      <c r="F330" s="19">
        <v>0</v>
      </c>
      <c r="G330" s="43">
        <v>890</v>
      </c>
    </row>
    <row r="331" spans="1:7" x14ac:dyDescent="0.3">
      <c r="A331" s="19">
        <v>3616</v>
      </c>
      <c r="B331" s="19" t="s">
        <v>1193</v>
      </c>
      <c r="C331" s="19" t="s">
        <v>1024</v>
      </c>
      <c r="D331" s="19" t="s">
        <v>1041</v>
      </c>
      <c r="E331" s="19" t="s">
        <v>1164</v>
      </c>
      <c r="F331" s="19">
        <v>5.0039999999999996</v>
      </c>
      <c r="G331" s="43">
        <v>1885</v>
      </c>
    </row>
    <row r="332" spans="1:7" x14ac:dyDescent="0.3">
      <c r="A332" s="19">
        <v>3667</v>
      </c>
      <c r="B332" s="19" t="s">
        <v>1194</v>
      </c>
      <c r="C332" s="19" t="s">
        <v>1024</v>
      </c>
      <c r="D332" s="19" t="s">
        <v>1195</v>
      </c>
      <c r="E332" s="19" t="s">
        <v>815</v>
      </c>
      <c r="F332" s="19">
        <v>1.008</v>
      </c>
      <c r="G332" s="43">
        <v>4036.5</v>
      </c>
    </row>
    <row r="333" spans="1:7" x14ac:dyDescent="0.3">
      <c r="A333" s="19">
        <v>1951</v>
      </c>
      <c r="B333" s="19" t="s">
        <v>1196</v>
      </c>
      <c r="C333" s="19" t="s">
        <v>1024</v>
      </c>
      <c r="D333" s="19" t="s">
        <v>1158</v>
      </c>
      <c r="E333" s="19" t="s">
        <v>815</v>
      </c>
      <c r="F333" s="19">
        <v>0</v>
      </c>
      <c r="G333" s="43">
        <v>2070</v>
      </c>
    </row>
    <row r="334" spans="1:7" x14ac:dyDescent="0.3">
      <c r="A334" s="19">
        <v>3820</v>
      </c>
      <c r="B334" s="19" t="s">
        <v>1197</v>
      </c>
      <c r="C334" s="19" t="s">
        <v>1024</v>
      </c>
      <c r="D334" s="19" t="s">
        <v>1191</v>
      </c>
      <c r="E334" s="19" t="s">
        <v>815</v>
      </c>
      <c r="F334" s="19">
        <v>5</v>
      </c>
      <c r="G334" s="43">
        <v>271.39</v>
      </c>
    </row>
    <row r="335" spans="1:7" x14ac:dyDescent="0.3">
      <c r="A335" s="19">
        <v>408</v>
      </c>
      <c r="B335" s="19" t="s">
        <v>1198</v>
      </c>
      <c r="C335" s="19" t="s">
        <v>1024</v>
      </c>
      <c r="D335" s="19" t="s">
        <v>1191</v>
      </c>
      <c r="E335" s="19" t="s">
        <v>815</v>
      </c>
      <c r="F335" s="19">
        <v>5</v>
      </c>
      <c r="G335" s="43">
        <v>271.39</v>
      </c>
    </row>
    <row r="336" spans="1:7" x14ac:dyDescent="0.3">
      <c r="A336" s="19">
        <v>3668</v>
      </c>
      <c r="B336" s="19" t="s">
        <v>1199</v>
      </c>
      <c r="C336" s="19" t="s">
        <v>1024</v>
      </c>
      <c r="D336" s="19" t="s">
        <v>1195</v>
      </c>
      <c r="E336" s="19" t="s">
        <v>815</v>
      </c>
      <c r="F336" s="19">
        <v>1.008</v>
      </c>
      <c r="G336" s="43">
        <v>4554</v>
      </c>
    </row>
    <row r="337" spans="1:7" x14ac:dyDescent="0.3">
      <c r="A337" s="19">
        <v>3783</v>
      </c>
      <c r="B337" s="19" t="s">
        <v>1200</v>
      </c>
      <c r="C337" s="19" t="s">
        <v>899</v>
      </c>
      <c r="D337" s="19" t="s">
        <v>1191</v>
      </c>
      <c r="E337" s="19" t="s">
        <v>815</v>
      </c>
      <c r="F337" s="19">
        <v>0</v>
      </c>
      <c r="G337" s="43">
        <v>0.45</v>
      </c>
    </row>
    <row r="338" spans="1:7" x14ac:dyDescent="0.3">
      <c r="A338" s="19">
        <v>2841</v>
      </c>
      <c r="B338" s="19" t="s">
        <v>1201</v>
      </c>
      <c r="C338" s="19" t="s">
        <v>899</v>
      </c>
      <c r="D338" s="19" t="s">
        <v>1025</v>
      </c>
      <c r="E338" s="19" t="s">
        <v>901</v>
      </c>
      <c r="F338" s="19">
        <v>210</v>
      </c>
      <c r="G338" s="43">
        <v>1.47</v>
      </c>
    </row>
    <row r="339" spans="1:7" x14ac:dyDescent="0.3">
      <c r="A339" s="19">
        <v>2334</v>
      </c>
      <c r="B339" s="19" t="s">
        <v>1202</v>
      </c>
      <c r="C339" s="19" t="s">
        <v>1024</v>
      </c>
      <c r="D339" s="19" t="s">
        <v>1025</v>
      </c>
      <c r="E339" s="19" t="s">
        <v>901</v>
      </c>
      <c r="F339" s="19">
        <v>0</v>
      </c>
      <c r="G339" s="43">
        <v>499.07</v>
      </c>
    </row>
    <row r="340" spans="1:7" x14ac:dyDescent="0.3">
      <c r="A340" s="19">
        <v>4032</v>
      </c>
      <c r="B340" s="19" t="s">
        <v>1203</v>
      </c>
      <c r="C340" s="19" t="s">
        <v>1024</v>
      </c>
      <c r="D340" s="19" t="s">
        <v>1025</v>
      </c>
      <c r="E340" s="19" t="s">
        <v>901</v>
      </c>
      <c r="F340" s="19">
        <v>240</v>
      </c>
      <c r="G340" s="43">
        <v>1574.5</v>
      </c>
    </row>
    <row r="341" spans="1:7" x14ac:dyDescent="0.3">
      <c r="A341" s="19">
        <v>474</v>
      </c>
      <c r="B341" s="19" t="s">
        <v>1204</v>
      </c>
      <c r="C341" s="19" t="s">
        <v>1024</v>
      </c>
      <c r="D341" s="19" t="s">
        <v>1025</v>
      </c>
      <c r="E341" s="19" t="s">
        <v>815</v>
      </c>
      <c r="F341" s="19">
        <v>0.21</v>
      </c>
      <c r="G341" s="43">
        <v>1457.01</v>
      </c>
    </row>
    <row r="342" spans="1:7" x14ac:dyDescent="0.3">
      <c r="A342" s="19">
        <v>3669</v>
      </c>
      <c r="B342" s="19" t="s">
        <v>1205</v>
      </c>
      <c r="C342" s="19" t="s">
        <v>1024</v>
      </c>
      <c r="D342" s="19" t="s">
        <v>1195</v>
      </c>
      <c r="E342" s="19" t="s">
        <v>815</v>
      </c>
      <c r="F342" s="19">
        <v>1.008</v>
      </c>
      <c r="G342" s="43">
        <v>1345.5</v>
      </c>
    </row>
    <row r="343" spans="1:7" x14ac:dyDescent="0.3">
      <c r="A343" s="19">
        <v>182</v>
      </c>
      <c r="B343" s="19" t="s">
        <v>1206</v>
      </c>
      <c r="C343" s="19" t="s">
        <v>1024</v>
      </c>
      <c r="D343" s="19" t="s">
        <v>1207</v>
      </c>
      <c r="E343" s="19" t="s">
        <v>901</v>
      </c>
      <c r="F343" s="19">
        <v>0</v>
      </c>
      <c r="G343" s="43">
        <v>99.8</v>
      </c>
    </row>
    <row r="344" spans="1:7" x14ac:dyDescent="0.3">
      <c r="A344" s="19">
        <v>3998</v>
      </c>
      <c r="B344" s="19" t="s">
        <v>1208</v>
      </c>
      <c r="C344" s="19" t="s">
        <v>899</v>
      </c>
      <c r="D344" s="19" t="s">
        <v>1209</v>
      </c>
      <c r="E344" s="19" t="s">
        <v>901</v>
      </c>
      <c r="F344" s="19">
        <v>1000</v>
      </c>
      <c r="G344" s="43">
        <v>1.0900000000000001</v>
      </c>
    </row>
    <row r="345" spans="1:7" x14ac:dyDescent="0.3">
      <c r="A345" s="19">
        <v>81</v>
      </c>
      <c r="B345" s="19" t="s">
        <v>1210</v>
      </c>
      <c r="C345" s="19" t="s">
        <v>1211</v>
      </c>
      <c r="D345" s="19" t="s">
        <v>1212</v>
      </c>
      <c r="E345" s="19" t="s">
        <v>815</v>
      </c>
      <c r="F345" s="19">
        <v>0</v>
      </c>
      <c r="G345" s="43">
        <v>21.8</v>
      </c>
    </row>
    <row r="346" spans="1:7" x14ac:dyDescent="0.3">
      <c r="A346" s="19">
        <v>13</v>
      </c>
      <c r="B346" s="19" t="s">
        <v>1213</v>
      </c>
      <c r="C346" s="19" t="s">
        <v>899</v>
      </c>
      <c r="D346" s="19" t="s">
        <v>1214</v>
      </c>
      <c r="E346" s="19" t="s">
        <v>901</v>
      </c>
      <c r="F346" s="19">
        <v>0</v>
      </c>
      <c r="G346" s="43">
        <v>1.37</v>
      </c>
    </row>
    <row r="347" spans="1:7" x14ac:dyDescent="0.3">
      <c r="A347" s="19">
        <v>6</v>
      </c>
      <c r="B347" s="19" t="s">
        <v>1215</v>
      </c>
      <c r="C347" s="19" t="s">
        <v>899</v>
      </c>
      <c r="D347" s="19" t="s">
        <v>1214</v>
      </c>
      <c r="E347" s="19" t="s">
        <v>901</v>
      </c>
      <c r="F347" s="19">
        <v>0</v>
      </c>
      <c r="G347" s="43">
        <v>1.37</v>
      </c>
    </row>
    <row r="348" spans="1:7" x14ac:dyDescent="0.3">
      <c r="A348" s="19">
        <v>3462</v>
      </c>
      <c r="B348" s="19" t="s">
        <v>1216</v>
      </c>
      <c r="C348" s="19" t="s">
        <v>1024</v>
      </c>
      <c r="D348" s="19" t="s">
        <v>1217</v>
      </c>
      <c r="E348" s="19" t="s">
        <v>901</v>
      </c>
      <c r="F348" s="19">
        <v>0.5</v>
      </c>
      <c r="G348" s="43">
        <v>120</v>
      </c>
    </row>
    <row r="349" spans="1:7" x14ac:dyDescent="0.3">
      <c r="A349" s="19">
        <v>1927</v>
      </c>
      <c r="B349" s="19" t="s">
        <v>1218</v>
      </c>
      <c r="C349" s="19" t="s">
        <v>899</v>
      </c>
      <c r="D349" s="19" t="s">
        <v>1219</v>
      </c>
      <c r="E349" s="19" t="s">
        <v>1220</v>
      </c>
      <c r="F349" s="19">
        <v>0</v>
      </c>
      <c r="G349" s="43">
        <v>1.27</v>
      </c>
    </row>
    <row r="350" spans="1:7" x14ac:dyDescent="0.3">
      <c r="A350" s="19">
        <v>4007</v>
      </c>
      <c r="B350" s="19" t="s">
        <v>1221</v>
      </c>
      <c r="C350" s="19" t="s">
        <v>899</v>
      </c>
      <c r="D350" s="19" t="s">
        <v>1222</v>
      </c>
      <c r="E350" s="19" t="s">
        <v>1220</v>
      </c>
      <c r="F350" s="19">
        <v>100</v>
      </c>
      <c r="G350" s="43">
        <v>1.81</v>
      </c>
    </row>
    <row r="351" spans="1:7" x14ac:dyDescent="0.3">
      <c r="A351" s="19">
        <v>1760</v>
      </c>
      <c r="B351" s="19" t="s">
        <v>1223</v>
      </c>
      <c r="C351" s="19" t="s">
        <v>899</v>
      </c>
      <c r="D351" s="19" t="s">
        <v>1224</v>
      </c>
      <c r="E351" s="19" t="s">
        <v>1220</v>
      </c>
      <c r="F351" s="19">
        <v>0</v>
      </c>
      <c r="G351" s="43">
        <v>2.57</v>
      </c>
    </row>
    <row r="352" spans="1:7" x14ac:dyDescent="0.3">
      <c r="A352" s="19">
        <v>1761</v>
      </c>
      <c r="B352" s="19" t="s">
        <v>1225</v>
      </c>
      <c r="C352" s="19" t="s">
        <v>899</v>
      </c>
      <c r="D352" s="19" t="s">
        <v>1224</v>
      </c>
      <c r="E352" s="19" t="s">
        <v>1220</v>
      </c>
      <c r="F352" s="19">
        <v>0</v>
      </c>
      <c r="G352" s="43">
        <v>1.58</v>
      </c>
    </row>
    <row r="353" spans="1:7" x14ac:dyDescent="0.3">
      <c r="A353" s="19">
        <v>784</v>
      </c>
      <c r="B353" s="19" t="s">
        <v>1226</v>
      </c>
      <c r="C353" s="19" t="s">
        <v>899</v>
      </c>
      <c r="D353" s="19" t="s">
        <v>1227</v>
      </c>
      <c r="E353" s="19" t="s">
        <v>1220</v>
      </c>
      <c r="F353" s="19">
        <v>0</v>
      </c>
      <c r="G353" s="43">
        <v>1634.48</v>
      </c>
    </row>
    <row r="354" spans="1:7" x14ac:dyDescent="0.3">
      <c r="A354" s="19">
        <v>2175</v>
      </c>
      <c r="B354" s="19" t="s">
        <v>1228</v>
      </c>
      <c r="C354" s="19" t="s">
        <v>1032</v>
      </c>
      <c r="D354" s="19" t="s">
        <v>1229</v>
      </c>
      <c r="E354" s="19" t="s">
        <v>815</v>
      </c>
      <c r="F354" s="19">
        <v>500</v>
      </c>
      <c r="G354" s="43">
        <v>1.51</v>
      </c>
    </row>
    <row r="355" spans="1:7" x14ac:dyDescent="0.3">
      <c r="A355" s="19">
        <v>2136</v>
      </c>
      <c r="B355" s="19" t="s">
        <v>1230</v>
      </c>
      <c r="C355" s="19" t="s">
        <v>1032</v>
      </c>
      <c r="D355" s="19" t="s">
        <v>1229</v>
      </c>
      <c r="E355" s="19" t="s">
        <v>815</v>
      </c>
      <c r="F355" s="19">
        <v>1176</v>
      </c>
      <c r="G355" s="43">
        <v>2.4500000000000002</v>
      </c>
    </row>
    <row r="356" spans="1:7" x14ac:dyDescent="0.3">
      <c r="A356" s="19">
        <v>2449</v>
      </c>
      <c r="B356" s="19" t="s">
        <v>1231</v>
      </c>
      <c r="C356" s="19" t="s">
        <v>1032</v>
      </c>
      <c r="D356" s="19" t="s">
        <v>1232</v>
      </c>
      <c r="E356" s="19" t="s">
        <v>1220</v>
      </c>
      <c r="F356" s="19">
        <v>2000</v>
      </c>
      <c r="G356" s="43">
        <v>1.57</v>
      </c>
    </row>
    <row r="357" spans="1:7" x14ac:dyDescent="0.3">
      <c r="A357" s="19">
        <v>318</v>
      </c>
      <c r="B357" s="19" t="s">
        <v>1233</v>
      </c>
      <c r="C357" s="19" t="s">
        <v>899</v>
      </c>
      <c r="D357" s="19" t="s">
        <v>1234</v>
      </c>
      <c r="E357" s="19" t="s">
        <v>1220</v>
      </c>
      <c r="F357" s="19">
        <v>0</v>
      </c>
      <c r="G357" s="43">
        <v>7.6</v>
      </c>
    </row>
    <row r="358" spans="1:7" x14ac:dyDescent="0.3">
      <c r="A358" s="19">
        <v>2335</v>
      </c>
      <c r="B358" s="19" t="s">
        <v>1235</v>
      </c>
      <c r="C358" s="19" t="s">
        <v>1024</v>
      </c>
      <c r="D358" s="19" t="s">
        <v>1025</v>
      </c>
      <c r="E358" s="19" t="s">
        <v>901</v>
      </c>
      <c r="F358" s="19">
        <v>0</v>
      </c>
      <c r="G358" s="43">
        <v>1818.05</v>
      </c>
    </row>
    <row r="359" spans="1:7" x14ac:dyDescent="0.3">
      <c r="A359" s="19">
        <v>473</v>
      </c>
      <c r="B359" s="19" t="s">
        <v>1236</v>
      </c>
      <c r="C359" s="19" t="s">
        <v>1024</v>
      </c>
      <c r="D359" s="19" t="s">
        <v>1025</v>
      </c>
      <c r="E359" s="19" t="s">
        <v>815</v>
      </c>
      <c r="F359" s="19">
        <v>0.21</v>
      </c>
      <c r="G359" s="43">
        <v>2378.42</v>
      </c>
    </row>
    <row r="360" spans="1:7" x14ac:dyDescent="0.3">
      <c r="A360" s="19">
        <v>4030</v>
      </c>
      <c r="B360" s="19" t="s">
        <v>1237</v>
      </c>
      <c r="C360" s="19" t="s">
        <v>1024</v>
      </c>
      <c r="D360" s="19" t="s">
        <v>1025</v>
      </c>
      <c r="E360" s="19" t="s">
        <v>901</v>
      </c>
      <c r="F360" s="19">
        <v>240</v>
      </c>
      <c r="G360" s="43">
        <v>2995.84</v>
      </c>
    </row>
    <row r="361" spans="1:7" x14ac:dyDescent="0.3">
      <c r="A361" s="19">
        <v>5</v>
      </c>
      <c r="B361" s="19" t="s">
        <v>1238</v>
      </c>
      <c r="C361" s="19" t="s">
        <v>856</v>
      </c>
      <c r="D361" s="19" t="s">
        <v>1227</v>
      </c>
      <c r="E361" s="19" t="s">
        <v>1220</v>
      </c>
      <c r="F361" s="19">
        <v>0</v>
      </c>
      <c r="G361" s="43">
        <v>17.239999999999998</v>
      </c>
    </row>
    <row r="362" spans="1:7" x14ac:dyDescent="0.3">
      <c r="A362" s="19">
        <v>3161</v>
      </c>
      <c r="B362" s="19" t="s">
        <v>1239</v>
      </c>
      <c r="C362" s="19" t="s">
        <v>899</v>
      </c>
      <c r="D362" s="19" t="s">
        <v>1240</v>
      </c>
      <c r="E362" s="19" t="s">
        <v>901</v>
      </c>
      <c r="F362" s="19">
        <v>0</v>
      </c>
      <c r="G362" s="43">
        <v>0.37</v>
      </c>
    </row>
    <row r="363" spans="1:7" x14ac:dyDescent="0.3">
      <c r="A363" s="19">
        <v>3528</v>
      </c>
      <c r="B363" s="19" t="s">
        <v>1241</v>
      </c>
      <c r="C363" s="19" t="s">
        <v>1242</v>
      </c>
      <c r="D363" s="19" t="s">
        <v>1243</v>
      </c>
      <c r="E363" s="19" t="s">
        <v>901</v>
      </c>
      <c r="F363" s="19">
        <v>0</v>
      </c>
      <c r="G363" s="43">
        <v>68.2</v>
      </c>
    </row>
    <row r="364" spans="1:7" x14ac:dyDescent="0.3">
      <c r="A364" s="19">
        <v>3527</v>
      </c>
      <c r="B364" s="19" t="s">
        <v>1244</v>
      </c>
      <c r="C364" s="19" t="s">
        <v>1242</v>
      </c>
      <c r="D364" s="19" t="s">
        <v>1243</v>
      </c>
      <c r="E364" s="19" t="s">
        <v>901</v>
      </c>
      <c r="F364" s="19">
        <v>0</v>
      </c>
      <c r="G364" s="43">
        <v>180.4</v>
      </c>
    </row>
    <row r="365" spans="1:7" x14ac:dyDescent="0.3">
      <c r="A365" s="19">
        <v>2017</v>
      </c>
      <c r="B365" s="19" t="s">
        <v>1245</v>
      </c>
      <c r="C365" s="19" t="s">
        <v>899</v>
      </c>
      <c r="D365" s="19" t="s">
        <v>1246</v>
      </c>
      <c r="E365" s="19" t="s">
        <v>901</v>
      </c>
      <c r="F365" s="19">
        <v>0</v>
      </c>
      <c r="G365" s="43">
        <v>797.46</v>
      </c>
    </row>
    <row r="366" spans="1:7" x14ac:dyDescent="0.3">
      <c r="A366" s="19">
        <v>3370</v>
      </c>
      <c r="B366" s="19" t="s">
        <v>1247</v>
      </c>
      <c r="C366" s="19" t="s">
        <v>1242</v>
      </c>
      <c r="D366" s="19" t="s">
        <v>1243</v>
      </c>
      <c r="E366" s="19" t="s">
        <v>901</v>
      </c>
      <c r="F366" s="19">
        <v>0</v>
      </c>
      <c r="G366" s="43">
        <v>50.4</v>
      </c>
    </row>
    <row r="367" spans="1:7" x14ac:dyDescent="0.3">
      <c r="A367" s="19">
        <v>3390</v>
      </c>
      <c r="B367" s="19" t="s">
        <v>1248</v>
      </c>
      <c r="C367" s="19" t="s">
        <v>899</v>
      </c>
      <c r="D367" s="19" t="s">
        <v>1243</v>
      </c>
      <c r="E367" s="19" t="s">
        <v>901</v>
      </c>
      <c r="F367" s="19">
        <v>0</v>
      </c>
      <c r="G367" s="43">
        <v>0</v>
      </c>
    </row>
    <row r="368" spans="1:7" x14ac:dyDescent="0.3">
      <c r="A368" s="19">
        <v>3971</v>
      </c>
      <c r="B368" s="19" t="s">
        <v>1249</v>
      </c>
      <c r="C368" s="19" t="s">
        <v>899</v>
      </c>
      <c r="D368" s="19" t="s">
        <v>1250</v>
      </c>
      <c r="E368" s="19" t="s">
        <v>901</v>
      </c>
      <c r="F368" s="19">
        <v>0</v>
      </c>
      <c r="G368" s="43">
        <v>10.73</v>
      </c>
    </row>
    <row r="369" spans="1:7" x14ac:dyDescent="0.3">
      <c r="A369" s="19">
        <v>415</v>
      </c>
      <c r="B369" s="19" t="s">
        <v>1251</v>
      </c>
      <c r="C369" s="19" t="s">
        <v>1024</v>
      </c>
      <c r="D369" s="19" t="s">
        <v>1207</v>
      </c>
      <c r="E369" s="19" t="s">
        <v>901</v>
      </c>
      <c r="F369" s="19">
        <v>0</v>
      </c>
      <c r="G369" s="43">
        <v>99.8</v>
      </c>
    </row>
    <row r="370" spans="1:7" x14ac:dyDescent="0.3">
      <c r="A370" s="19">
        <v>2365</v>
      </c>
      <c r="B370" s="19" t="s">
        <v>1252</v>
      </c>
      <c r="C370" s="19" t="s">
        <v>1024</v>
      </c>
      <c r="D370" s="19" t="s">
        <v>1207</v>
      </c>
      <c r="E370" s="19" t="s">
        <v>815</v>
      </c>
      <c r="F370" s="19">
        <v>2</v>
      </c>
      <c r="G370" s="43">
        <v>485</v>
      </c>
    </row>
    <row r="371" spans="1:7" x14ac:dyDescent="0.3">
      <c r="A371" s="19">
        <v>2362</v>
      </c>
      <c r="B371" s="19" t="s">
        <v>1253</v>
      </c>
      <c r="C371" s="19" t="s">
        <v>1024</v>
      </c>
      <c r="D371" s="19" t="s">
        <v>1207</v>
      </c>
      <c r="E371" s="19" t="s">
        <v>901</v>
      </c>
      <c r="F371" s="19">
        <v>0</v>
      </c>
      <c r="G371" s="43">
        <v>411.18</v>
      </c>
    </row>
    <row r="372" spans="1:7" x14ac:dyDescent="0.3">
      <c r="A372" s="19">
        <v>2363</v>
      </c>
      <c r="B372" s="19" t="s">
        <v>1254</v>
      </c>
      <c r="C372" s="19" t="s">
        <v>1024</v>
      </c>
      <c r="D372" s="19" t="s">
        <v>1207</v>
      </c>
      <c r="E372" s="19" t="s">
        <v>815</v>
      </c>
      <c r="F372" s="19">
        <v>2</v>
      </c>
      <c r="G372" s="43">
        <v>485</v>
      </c>
    </row>
    <row r="373" spans="1:7" x14ac:dyDescent="0.3">
      <c r="A373" s="19">
        <v>3768</v>
      </c>
      <c r="B373" s="19" t="s">
        <v>1255</v>
      </c>
      <c r="C373" s="19" t="s">
        <v>1024</v>
      </c>
      <c r="D373" s="19" t="s">
        <v>1207</v>
      </c>
      <c r="E373" s="19" t="s">
        <v>815</v>
      </c>
      <c r="F373" s="19">
        <v>2</v>
      </c>
      <c r="G373" s="43">
        <v>250</v>
      </c>
    </row>
    <row r="374" spans="1:7" x14ac:dyDescent="0.3">
      <c r="A374" s="19">
        <v>2364</v>
      </c>
      <c r="B374" s="19" t="s">
        <v>1256</v>
      </c>
      <c r="C374" s="19" t="s">
        <v>1024</v>
      </c>
      <c r="D374" s="19" t="s">
        <v>1207</v>
      </c>
      <c r="E374" s="19" t="s">
        <v>901</v>
      </c>
      <c r="F374" s="19">
        <v>0</v>
      </c>
      <c r="G374" s="43">
        <v>264</v>
      </c>
    </row>
    <row r="375" spans="1:7" x14ac:dyDescent="0.3">
      <c r="A375" s="19">
        <v>1607</v>
      </c>
      <c r="B375" s="19" t="s">
        <v>1257</v>
      </c>
      <c r="C375" s="19" t="s">
        <v>1024</v>
      </c>
      <c r="D375" s="19" t="s">
        <v>1025</v>
      </c>
      <c r="E375" s="19" t="s">
        <v>815</v>
      </c>
      <c r="F375" s="19">
        <v>0</v>
      </c>
      <c r="G375" s="43">
        <v>72.58</v>
      </c>
    </row>
    <row r="376" spans="1:7" x14ac:dyDescent="0.3">
      <c r="A376" s="19">
        <v>2336</v>
      </c>
      <c r="B376" s="19" t="s">
        <v>1258</v>
      </c>
      <c r="C376" s="19" t="s">
        <v>899</v>
      </c>
      <c r="D376" s="19" t="s">
        <v>1025</v>
      </c>
      <c r="E376" s="19" t="s">
        <v>1259</v>
      </c>
      <c r="F376" s="19">
        <v>0</v>
      </c>
      <c r="G376" s="43">
        <v>1.1499999999999999</v>
      </c>
    </row>
    <row r="377" spans="1:7" x14ac:dyDescent="0.3">
      <c r="A377" s="19">
        <v>2337</v>
      </c>
      <c r="B377" s="19" t="s">
        <v>1260</v>
      </c>
      <c r="C377" s="19" t="s">
        <v>1024</v>
      </c>
      <c r="D377" s="19" t="s">
        <v>1025</v>
      </c>
      <c r="E377" s="19" t="s">
        <v>1259</v>
      </c>
      <c r="F377" s="19">
        <v>0</v>
      </c>
      <c r="G377" s="43">
        <v>1.02</v>
      </c>
    </row>
    <row r="378" spans="1:7" x14ac:dyDescent="0.3">
      <c r="A378" s="19">
        <v>7</v>
      </c>
      <c r="B378" s="19" t="s">
        <v>1261</v>
      </c>
      <c r="C378" s="19" t="s">
        <v>899</v>
      </c>
      <c r="D378" s="19" t="s">
        <v>900</v>
      </c>
      <c r="E378" s="19" t="s">
        <v>901</v>
      </c>
      <c r="F378" s="19">
        <v>0</v>
      </c>
      <c r="G378" s="43">
        <v>0.78</v>
      </c>
    </row>
    <row r="379" spans="1:7" x14ac:dyDescent="0.3">
      <c r="A379" s="19">
        <v>1762</v>
      </c>
      <c r="B379" s="19" t="s">
        <v>1262</v>
      </c>
      <c r="C379" s="19" t="s">
        <v>899</v>
      </c>
      <c r="D379" s="19" t="s">
        <v>1224</v>
      </c>
      <c r="E379" s="19" t="s">
        <v>1259</v>
      </c>
      <c r="F379" s="19">
        <v>0</v>
      </c>
      <c r="G379" s="43">
        <v>0.63</v>
      </c>
    </row>
    <row r="380" spans="1:7" x14ac:dyDescent="0.3">
      <c r="A380" s="19">
        <v>3333</v>
      </c>
      <c r="B380" s="19" t="s">
        <v>1263</v>
      </c>
      <c r="C380" s="19" t="s">
        <v>1024</v>
      </c>
      <c r="D380" s="19" t="s">
        <v>1264</v>
      </c>
      <c r="E380" s="19" t="s">
        <v>815</v>
      </c>
      <c r="F380" s="19">
        <v>0</v>
      </c>
      <c r="G380" s="43">
        <v>420</v>
      </c>
    </row>
    <row r="381" spans="1:7" x14ac:dyDescent="0.3">
      <c r="A381" s="19">
        <v>1928</v>
      </c>
      <c r="B381" s="19" t="s">
        <v>1265</v>
      </c>
      <c r="C381" s="19" t="s">
        <v>1024</v>
      </c>
      <c r="D381" s="19" t="s">
        <v>1266</v>
      </c>
      <c r="E381" s="19" t="s">
        <v>1220</v>
      </c>
      <c r="F381" s="19">
        <v>0</v>
      </c>
      <c r="G381" s="43">
        <v>198.51</v>
      </c>
    </row>
    <row r="382" spans="1:7" x14ac:dyDescent="0.3">
      <c r="A382" s="19">
        <v>2458</v>
      </c>
      <c r="B382" s="19" t="s">
        <v>1267</v>
      </c>
      <c r="C382" s="19" t="s">
        <v>899</v>
      </c>
      <c r="D382" s="19" t="s">
        <v>1268</v>
      </c>
      <c r="E382" s="19" t="s">
        <v>901</v>
      </c>
      <c r="F382" s="19">
        <v>0</v>
      </c>
      <c r="G382" s="43">
        <v>0.14000000000000001</v>
      </c>
    </row>
    <row r="383" spans="1:7" x14ac:dyDescent="0.3">
      <c r="A383" s="19">
        <v>4</v>
      </c>
      <c r="B383" s="19" t="s">
        <v>1269</v>
      </c>
      <c r="C383" s="19" t="s">
        <v>899</v>
      </c>
      <c r="D383" s="19" t="s">
        <v>1270</v>
      </c>
      <c r="E383" s="19" t="s">
        <v>1259</v>
      </c>
      <c r="F383" s="19">
        <v>0</v>
      </c>
      <c r="G383" s="43">
        <v>0.77</v>
      </c>
    </row>
    <row r="384" spans="1:7" x14ac:dyDescent="0.3">
      <c r="A384" s="19">
        <v>2917</v>
      </c>
      <c r="B384" s="19" t="s">
        <v>1271</v>
      </c>
      <c r="C384" s="19" t="s">
        <v>899</v>
      </c>
      <c r="D384" s="19" t="s">
        <v>1029</v>
      </c>
      <c r="E384" s="19" t="s">
        <v>1259</v>
      </c>
      <c r="F384" s="19">
        <v>480</v>
      </c>
      <c r="G384" s="43">
        <v>1.21</v>
      </c>
    </row>
    <row r="385" spans="1:7" x14ac:dyDescent="0.3">
      <c r="A385" s="19">
        <v>15</v>
      </c>
      <c r="B385" s="19" t="s">
        <v>1272</v>
      </c>
      <c r="C385" s="19" t="s">
        <v>899</v>
      </c>
      <c r="D385" s="19" t="s">
        <v>1029</v>
      </c>
      <c r="E385" s="19" t="s">
        <v>1259</v>
      </c>
      <c r="F385" s="19">
        <v>480</v>
      </c>
      <c r="G385" s="43">
        <v>3.25</v>
      </c>
    </row>
    <row r="386" spans="1:7" x14ac:dyDescent="0.3">
      <c r="A386" s="19">
        <v>2450</v>
      </c>
      <c r="B386" s="19" t="s">
        <v>1273</v>
      </c>
      <c r="C386" s="19" t="s">
        <v>1032</v>
      </c>
      <c r="D386" s="19" t="s">
        <v>1232</v>
      </c>
      <c r="E386" s="19" t="s">
        <v>1220</v>
      </c>
      <c r="F386" s="19">
        <v>2000</v>
      </c>
      <c r="G386" s="43">
        <v>1.23</v>
      </c>
    </row>
    <row r="387" spans="1:7" x14ac:dyDescent="0.3">
      <c r="A387" s="19">
        <v>1075</v>
      </c>
      <c r="B387" s="19" t="s">
        <v>1274</v>
      </c>
      <c r="C387" s="19" t="s">
        <v>1024</v>
      </c>
      <c r="D387" s="19" t="s">
        <v>1191</v>
      </c>
      <c r="E387" s="19" t="s">
        <v>815</v>
      </c>
      <c r="F387" s="19">
        <v>4</v>
      </c>
      <c r="G387" s="43">
        <v>302</v>
      </c>
    </row>
    <row r="388" spans="1:7" x14ac:dyDescent="0.3">
      <c r="A388" s="19">
        <v>2354</v>
      </c>
      <c r="B388" s="19" t="s">
        <v>1275</v>
      </c>
      <c r="C388" s="19" t="s">
        <v>899</v>
      </c>
      <c r="D388" s="19" t="s">
        <v>1229</v>
      </c>
      <c r="E388" s="19" t="s">
        <v>815</v>
      </c>
      <c r="F388" s="19">
        <v>500</v>
      </c>
      <c r="G388" s="43">
        <v>0.75</v>
      </c>
    </row>
    <row r="389" spans="1:7" x14ac:dyDescent="0.3">
      <c r="A389" s="19">
        <v>2366</v>
      </c>
      <c r="B389" s="19" t="s">
        <v>1276</v>
      </c>
      <c r="C389" s="19" t="s">
        <v>899</v>
      </c>
      <c r="D389" s="19" t="s">
        <v>1229</v>
      </c>
      <c r="E389" s="19" t="s">
        <v>815</v>
      </c>
      <c r="F389" s="19">
        <v>980</v>
      </c>
      <c r="G389" s="43">
        <v>0.64</v>
      </c>
    </row>
    <row r="390" spans="1:7" x14ac:dyDescent="0.3">
      <c r="A390" s="19">
        <v>3853</v>
      </c>
      <c r="B390" s="19" t="s">
        <v>1277</v>
      </c>
      <c r="C390" s="19" t="s">
        <v>899</v>
      </c>
      <c r="D390" s="19" t="s">
        <v>1229</v>
      </c>
      <c r="E390" s="19" t="s">
        <v>815</v>
      </c>
      <c r="F390" s="19">
        <v>980</v>
      </c>
      <c r="G390" s="43">
        <v>0.64</v>
      </c>
    </row>
    <row r="391" spans="1:7" x14ac:dyDescent="0.3">
      <c r="A391" s="19">
        <v>2331</v>
      </c>
      <c r="B391" s="19" t="s">
        <v>1278</v>
      </c>
      <c r="C391" s="19" t="s">
        <v>899</v>
      </c>
      <c r="D391" s="19" t="s">
        <v>1178</v>
      </c>
      <c r="E391" s="19" t="s">
        <v>901</v>
      </c>
      <c r="F391" s="19">
        <v>0</v>
      </c>
      <c r="G391" s="43">
        <v>6.65</v>
      </c>
    </row>
    <row r="392" spans="1:7" x14ac:dyDescent="0.3">
      <c r="A392" s="19">
        <v>3285</v>
      </c>
      <c r="B392" s="19" t="s">
        <v>1279</v>
      </c>
      <c r="C392" s="19" t="s">
        <v>899</v>
      </c>
      <c r="D392" s="19" t="s">
        <v>1045</v>
      </c>
      <c r="E392" s="19" t="s">
        <v>1050</v>
      </c>
      <c r="F392" s="19">
        <v>1000</v>
      </c>
      <c r="G392" s="43">
        <v>0.51</v>
      </c>
    </row>
    <row r="393" spans="1:7" x14ac:dyDescent="0.3">
      <c r="A393" s="19">
        <v>1088</v>
      </c>
      <c r="B393" s="19" t="s">
        <v>1280</v>
      </c>
      <c r="C393" s="19" t="s">
        <v>899</v>
      </c>
      <c r="D393" s="19" t="s">
        <v>1045</v>
      </c>
      <c r="E393" s="19" t="s">
        <v>815</v>
      </c>
      <c r="F393" s="19">
        <v>1000</v>
      </c>
      <c r="G393" s="43">
        <v>0.35</v>
      </c>
    </row>
    <row r="394" spans="1:7" x14ac:dyDescent="0.3">
      <c r="A394" s="19">
        <v>405</v>
      </c>
      <c r="B394" s="19" t="s">
        <v>1281</v>
      </c>
      <c r="C394" s="19" t="s">
        <v>1024</v>
      </c>
      <c r="D394" s="19" t="s">
        <v>1191</v>
      </c>
      <c r="E394" s="19" t="s">
        <v>815</v>
      </c>
      <c r="F394" s="19">
        <v>8</v>
      </c>
      <c r="G394" s="43">
        <v>288.2</v>
      </c>
    </row>
    <row r="395" spans="1:7" x14ac:dyDescent="0.3">
      <c r="A395" s="19">
        <v>2394</v>
      </c>
      <c r="B395" s="19" t="s">
        <v>1282</v>
      </c>
      <c r="C395" s="19" t="s">
        <v>1024</v>
      </c>
      <c r="D395" s="19" t="s">
        <v>1264</v>
      </c>
      <c r="E395" s="19" t="s">
        <v>901</v>
      </c>
      <c r="F395" s="19">
        <v>0</v>
      </c>
      <c r="G395" s="43">
        <v>375</v>
      </c>
    </row>
    <row r="396" spans="1:7" x14ac:dyDescent="0.3">
      <c r="A396" s="19">
        <v>2006</v>
      </c>
      <c r="B396" s="19" t="s">
        <v>1283</v>
      </c>
      <c r="C396" s="19" t="s">
        <v>899</v>
      </c>
      <c r="D396" s="19" t="s">
        <v>1264</v>
      </c>
      <c r="E396" s="19" t="s">
        <v>901</v>
      </c>
      <c r="F396" s="19">
        <v>0</v>
      </c>
      <c r="G396" s="43">
        <v>0.31</v>
      </c>
    </row>
    <row r="397" spans="1:7" x14ac:dyDescent="0.3">
      <c r="A397" s="19">
        <v>4031</v>
      </c>
      <c r="B397" s="19" t="s">
        <v>1284</v>
      </c>
      <c r="C397" s="19" t="s">
        <v>1024</v>
      </c>
      <c r="D397" s="19" t="s">
        <v>1025</v>
      </c>
      <c r="E397" s="19" t="s">
        <v>901</v>
      </c>
      <c r="F397" s="19">
        <v>240</v>
      </c>
      <c r="G397" s="43">
        <v>1631.23</v>
      </c>
    </row>
    <row r="398" spans="1:7" x14ac:dyDescent="0.3">
      <c r="A398" s="19">
        <v>477</v>
      </c>
      <c r="B398" s="19" t="s">
        <v>1285</v>
      </c>
      <c r="C398" s="19" t="s">
        <v>1024</v>
      </c>
      <c r="D398" s="19" t="s">
        <v>1025</v>
      </c>
      <c r="E398" s="19" t="s">
        <v>815</v>
      </c>
      <c r="F398" s="19">
        <v>0.21</v>
      </c>
      <c r="G398" s="43">
        <v>1351.23</v>
      </c>
    </row>
    <row r="399" spans="1:7" x14ac:dyDescent="0.3">
      <c r="A399" s="19">
        <v>2842</v>
      </c>
      <c r="B399" s="19" t="s">
        <v>1286</v>
      </c>
      <c r="C399" s="19" t="s">
        <v>899</v>
      </c>
      <c r="D399" s="19" t="s">
        <v>1041</v>
      </c>
      <c r="E399" s="19" t="s">
        <v>901</v>
      </c>
      <c r="F399" s="19">
        <v>0</v>
      </c>
      <c r="G399" s="43">
        <v>0</v>
      </c>
    </row>
    <row r="400" spans="1:7" x14ac:dyDescent="0.3">
      <c r="A400" s="19">
        <v>3617</v>
      </c>
      <c r="B400" s="19" t="s">
        <v>1287</v>
      </c>
      <c r="C400" s="19" t="s">
        <v>899</v>
      </c>
      <c r="D400" s="19" t="s">
        <v>1041</v>
      </c>
      <c r="E400" s="19" t="s">
        <v>1161</v>
      </c>
      <c r="F400" s="19">
        <v>5000</v>
      </c>
      <c r="G400" s="43">
        <v>0</v>
      </c>
    </row>
    <row r="401" spans="1:7" x14ac:dyDescent="0.3">
      <c r="A401" s="19">
        <v>997</v>
      </c>
      <c r="B401" s="19" t="s">
        <v>1288</v>
      </c>
      <c r="C401" s="19" t="s">
        <v>1024</v>
      </c>
      <c r="D401" s="19" t="s">
        <v>1191</v>
      </c>
      <c r="E401" s="19" t="s">
        <v>932</v>
      </c>
      <c r="F401" s="19">
        <v>4</v>
      </c>
      <c r="G401" s="43">
        <v>330</v>
      </c>
    </row>
    <row r="402" spans="1:7" x14ac:dyDescent="0.3">
      <c r="A402" s="19">
        <v>3642</v>
      </c>
      <c r="B402" s="19" t="s">
        <v>1289</v>
      </c>
      <c r="C402" s="19" t="s">
        <v>899</v>
      </c>
      <c r="D402" s="19" t="s">
        <v>1033</v>
      </c>
      <c r="E402" s="19" t="s">
        <v>901</v>
      </c>
      <c r="F402" s="19">
        <v>0</v>
      </c>
      <c r="G402" s="43">
        <v>0.2</v>
      </c>
    </row>
    <row r="403" spans="1:7" x14ac:dyDescent="0.3">
      <c r="A403" s="19">
        <v>3769</v>
      </c>
      <c r="B403" s="19" t="s">
        <v>1290</v>
      </c>
      <c r="C403" s="19" t="s">
        <v>1024</v>
      </c>
      <c r="D403" s="19" t="s">
        <v>1191</v>
      </c>
      <c r="E403" s="19" t="s">
        <v>901</v>
      </c>
      <c r="F403" s="19">
        <v>3.1</v>
      </c>
      <c r="G403" s="43">
        <v>298</v>
      </c>
    </row>
    <row r="404" spans="1:7" x14ac:dyDescent="0.3">
      <c r="A404" s="19">
        <v>3934</v>
      </c>
      <c r="B404" s="19" t="s">
        <v>1291</v>
      </c>
      <c r="C404" s="19" t="s">
        <v>899</v>
      </c>
      <c r="D404" s="19" t="s">
        <v>1292</v>
      </c>
      <c r="E404" s="19" t="s">
        <v>901</v>
      </c>
      <c r="F404" s="19">
        <v>5000</v>
      </c>
      <c r="G404" s="43">
        <v>0.13</v>
      </c>
    </row>
    <row r="405" spans="1:7" x14ac:dyDescent="0.3">
      <c r="A405" s="19">
        <v>1610</v>
      </c>
      <c r="B405" s="19" t="s">
        <v>1293</v>
      </c>
      <c r="C405" s="19" t="s">
        <v>899</v>
      </c>
      <c r="D405" s="19" t="s">
        <v>1191</v>
      </c>
      <c r="E405" s="19" t="s">
        <v>1259</v>
      </c>
      <c r="F405" s="19">
        <v>0</v>
      </c>
      <c r="G405" s="43">
        <v>0.18</v>
      </c>
    </row>
    <row r="406" spans="1:7" x14ac:dyDescent="0.3">
      <c r="A406" s="19">
        <v>2401</v>
      </c>
      <c r="B406" s="19" t="s">
        <v>1294</v>
      </c>
      <c r="C406" s="19" t="s">
        <v>1024</v>
      </c>
      <c r="D406" s="19" t="s">
        <v>1037</v>
      </c>
      <c r="E406" s="19" t="s">
        <v>901</v>
      </c>
      <c r="F406" s="19">
        <v>4.2240000000000002</v>
      </c>
      <c r="G406" s="43">
        <v>35.1</v>
      </c>
    </row>
    <row r="407" spans="1:7" x14ac:dyDescent="0.3">
      <c r="A407" s="19">
        <v>3814</v>
      </c>
      <c r="B407" s="19" t="s">
        <v>1295</v>
      </c>
      <c r="C407" s="19" t="s">
        <v>1024</v>
      </c>
      <c r="D407" s="19" t="s">
        <v>1037</v>
      </c>
      <c r="E407" s="19" t="s">
        <v>1164</v>
      </c>
      <c r="F407" s="19">
        <v>4.2240000000000002</v>
      </c>
      <c r="G407" s="43">
        <v>35</v>
      </c>
    </row>
    <row r="408" spans="1:7" x14ac:dyDescent="0.3">
      <c r="A408" s="19">
        <v>78</v>
      </c>
      <c r="B408" s="19" t="s">
        <v>1296</v>
      </c>
      <c r="C408" s="19" t="s">
        <v>899</v>
      </c>
      <c r="D408" s="19" t="s">
        <v>1186</v>
      </c>
      <c r="E408" s="19" t="s">
        <v>901</v>
      </c>
      <c r="F408" s="19">
        <v>0</v>
      </c>
      <c r="G408" s="43">
        <v>0.71</v>
      </c>
    </row>
    <row r="409" spans="1:7" x14ac:dyDescent="0.3">
      <c r="A409" s="19">
        <v>3844</v>
      </c>
      <c r="B409" s="19" t="s">
        <v>1297</v>
      </c>
      <c r="C409" s="19" t="s">
        <v>899</v>
      </c>
      <c r="D409" s="19" t="s">
        <v>1298</v>
      </c>
      <c r="E409" s="19" t="s">
        <v>815</v>
      </c>
      <c r="F409" s="19">
        <v>0</v>
      </c>
      <c r="G409" s="43">
        <v>3.05</v>
      </c>
    </row>
    <row r="410" spans="1:7" x14ac:dyDescent="0.3">
      <c r="A410" s="19">
        <v>1605</v>
      </c>
      <c r="B410" s="19" t="s">
        <v>1299</v>
      </c>
      <c r="C410" s="19" t="s">
        <v>899</v>
      </c>
      <c r="D410" s="19" t="s">
        <v>1158</v>
      </c>
      <c r="E410" s="19" t="s">
        <v>815</v>
      </c>
      <c r="F410" s="19">
        <v>0</v>
      </c>
      <c r="G410" s="43">
        <v>0.98</v>
      </c>
    </row>
    <row r="411" spans="1:7" x14ac:dyDescent="0.3">
      <c r="A411" s="19">
        <v>2221</v>
      </c>
      <c r="B411" s="19" t="s">
        <v>1300</v>
      </c>
      <c r="C411" s="19" t="s">
        <v>899</v>
      </c>
      <c r="D411" s="19" t="s">
        <v>1025</v>
      </c>
      <c r="E411" s="19" t="s">
        <v>901</v>
      </c>
      <c r="F411" s="19">
        <v>0</v>
      </c>
      <c r="G411" s="43">
        <v>1.1499999999999999</v>
      </c>
    </row>
    <row r="412" spans="1:7" x14ac:dyDescent="0.3">
      <c r="A412" s="19">
        <v>3939</v>
      </c>
      <c r="B412" s="19" t="s">
        <v>1301</v>
      </c>
      <c r="C412" s="19" t="s">
        <v>899</v>
      </c>
      <c r="D412" s="19" t="s">
        <v>939</v>
      </c>
      <c r="E412" s="19" t="s">
        <v>901</v>
      </c>
      <c r="F412" s="19">
        <v>0</v>
      </c>
      <c r="G412" s="43">
        <v>0.37</v>
      </c>
    </row>
    <row r="413" spans="1:7" x14ac:dyDescent="0.3">
      <c r="A413" s="19">
        <v>3241</v>
      </c>
      <c r="B413" s="19" t="s">
        <v>1302</v>
      </c>
      <c r="C413" s="19" t="s">
        <v>899</v>
      </c>
      <c r="D413" s="19" t="s">
        <v>939</v>
      </c>
      <c r="E413" s="19" t="s">
        <v>901</v>
      </c>
      <c r="F413" s="19">
        <v>0</v>
      </c>
      <c r="G413" s="43">
        <v>1.68</v>
      </c>
    </row>
    <row r="414" spans="1:7" x14ac:dyDescent="0.3">
      <c r="A414" s="19">
        <v>3242</v>
      </c>
      <c r="B414" s="19" t="s">
        <v>1303</v>
      </c>
      <c r="C414" s="19" t="s">
        <v>899</v>
      </c>
      <c r="D414" s="19" t="s">
        <v>939</v>
      </c>
      <c r="E414" s="19" t="s">
        <v>901</v>
      </c>
      <c r="F414" s="19">
        <v>0</v>
      </c>
      <c r="G414" s="43">
        <v>2.1800000000000002</v>
      </c>
    </row>
    <row r="415" spans="1:7" x14ac:dyDescent="0.3">
      <c r="A415" s="19">
        <v>3243</v>
      </c>
      <c r="B415" s="19" t="s">
        <v>1304</v>
      </c>
      <c r="C415" s="19" t="s">
        <v>899</v>
      </c>
      <c r="D415" s="19" t="s">
        <v>939</v>
      </c>
      <c r="E415" s="19" t="s">
        <v>901</v>
      </c>
      <c r="F415" s="19">
        <v>0</v>
      </c>
      <c r="G415" s="43">
        <v>1.68</v>
      </c>
    </row>
    <row r="416" spans="1:7" x14ac:dyDescent="0.3">
      <c r="A416" s="19">
        <v>3244</v>
      </c>
      <c r="B416" s="19" t="s">
        <v>1305</v>
      </c>
      <c r="C416" s="19" t="s">
        <v>899</v>
      </c>
      <c r="D416" s="19" t="s">
        <v>939</v>
      </c>
      <c r="E416" s="19" t="s">
        <v>901</v>
      </c>
      <c r="F416" s="19">
        <v>0</v>
      </c>
      <c r="G416" s="43">
        <v>1.68</v>
      </c>
    </row>
    <row r="417" spans="1:7" x14ac:dyDescent="0.3">
      <c r="A417" s="19">
        <v>3245</v>
      </c>
      <c r="B417" s="19" t="s">
        <v>1306</v>
      </c>
      <c r="C417" s="19" t="s">
        <v>899</v>
      </c>
      <c r="D417" s="19" t="s">
        <v>939</v>
      </c>
      <c r="E417" s="19" t="s">
        <v>901</v>
      </c>
      <c r="F417" s="19">
        <v>0</v>
      </c>
      <c r="G417" s="43">
        <v>1.68</v>
      </c>
    </row>
    <row r="418" spans="1:7" x14ac:dyDescent="0.3">
      <c r="A418" s="19">
        <v>3232</v>
      </c>
      <c r="B418" s="19" t="s">
        <v>1307</v>
      </c>
      <c r="C418" s="19" t="s">
        <v>899</v>
      </c>
      <c r="D418" s="19" t="s">
        <v>939</v>
      </c>
      <c r="E418" s="19" t="s">
        <v>901</v>
      </c>
      <c r="F418" s="19">
        <v>0</v>
      </c>
      <c r="G418" s="43">
        <v>2.74</v>
      </c>
    </row>
    <row r="419" spans="1:7" x14ac:dyDescent="0.3">
      <c r="A419" s="19">
        <v>3246</v>
      </c>
      <c r="B419" s="19" t="s">
        <v>1308</v>
      </c>
      <c r="C419" s="19" t="s">
        <v>899</v>
      </c>
      <c r="D419" s="19" t="s">
        <v>939</v>
      </c>
      <c r="E419" s="19" t="s">
        <v>901</v>
      </c>
      <c r="F419" s="19">
        <v>0</v>
      </c>
      <c r="G419" s="43">
        <v>1.68</v>
      </c>
    </row>
    <row r="420" spans="1:7" x14ac:dyDescent="0.3">
      <c r="A420" s="19">
        <v>3291</v>
      </c>
      <c r="B420" s="19" t="s">
        <v>1309</v>
      </c>
      <c r="C420" s="19" t="s">
        <v>899</v>
      </c>
      <c r="D420" s="19" t="s">
        <v>939</v>
      </c>
      <c r="E420" s="19" t="s">
        <v>901</v>
      </c>
      <c r="F420" s="19">
        <v>0</v>
      </c>
      <c r="G420" s="43">
        <v>2.1800000000000002</v>
      </c>
    </row>
    <row r="421" spans="1:7" x14ac:dyDescent="0.3">
      <c r="A421" s="19">
        <v>3247</v>
      </c>
      <c r="B421" s="19" t="s">
        <v>1310</v>
      </c>
      <c r="C421" s="19" t="s">
        <v>899</v>
      </c>
      <c r="D421" s="19" t="s">
        <v>939</v>
      </c>
      <c r="E421" s="19" t="s">
        <v>901</v>
      </c>
      <c r="F421" s="19">
        <v>0</v>
      </c>
      <c r="G421" s="43">
        <v>1.68</v>
      </c>
    </row>
    <row r="422" spans="1:7" x14ac:dyDescent="0.3">
      <c r="A422" s="19">
        <v>3249</v>
      </c>
      <c r="B422" s="19" t="s">
        <v>1311</v>
      </c>
      <c r="C422" s="19" t="s">
        <v>899</v>
      </c>
      <c r="D422" s="19" t="s">
        <v>939</v>
      </c>
      <c r="E422" s="19" t="s">
        <v>901</v>
      </c>
      <c r="F422" s="19">
        <v>0</v>
      </c>
      <c r="G422" s="43">
        <v>2.1800000000000002</v>
      </c>
    </row>
    <row r="423" spans="1:7" x14ac:dyDescent="0.3">
      <c r="A423" s="19">
        <v>3233</v>
      </c>
      <c r="B423" s="19" t="s">
        <v>1312</v>
      </c>
      <c r="C423" s="19" t="s">
        <v>899</v>
      </c>
      <c r="D423" s="19" t="s">
        <v>939</v>
      </c>
      <c r="E423" s="19" t="s">
        <v>901</v>
      </c>
      <c r="F423" s="19">
        <v>0</v>
      </c>
      <c r="G423" s="43">
        <v>1.68</v>
      </c>
    </row>
    <row r="424" spans="1:7" x14ac:dyDescent="0.3">
      <c r="A424" s="19">
        <v>3942</v>
      </c>
      <c r="B424" s="19" t="s">
        <v>1313</v>
      </c>
      <c r="C424" s="19" t="s">
        <v>899</v>
      </c>
      <c r="D424" s="19" t="s">
        <v>939</v>
      </c>
      <c r="E424" s="19" t="s">
        <v>901</v>
      </c>
      <c r="F424" s="19">
        <v>0</v>
      </c>
      <c r="G424" s="43">
        <v>0.37</v>
      </c>
    </row>
    <row r="425" spans="1:7" x14ac:dyDescent="0.3">
      <c r="A425" s="19">
        <v>3940</v>
      </c>
      <c r="B425" s="19" t="s">
        <v>1314</v>
      </c>
      <c r="C425" s="19" t="s">
        <v>899</v>
      </c>
      <c r="D425" s="19" t="s">
        <v>939</v>
      </c>
      <c r="E425" s="19" t="s">
        <v>901</v>
      </c>
      <c r="F425" s="19">
        <v>0</v>
      </c>
      <c r="G425" s="43">
        <v>0.37</v>
      </c>
    </row>
    <row r="426" spans="1:7" x14ac:dyDescent="0.3">
      <c r="A426" s="19">
        <v>3250</v>
      </c>
      <c r="B426" s="19" t="s">
        <v>1315</v>
      </c>
      <c r="C426" s="19" t="s">
        <v>899</v>
      </c>
      <c r="D426" s="19" t="s">
        <v>939</v>
      </c>
      <c r="E426" s="19" t="s">
        <v>901</v>
      </c>
      <c r="F426" s="19">
        <v>0</v>
      </c>
      <c r="G426" s="43">
        <v>1.68</v>
      </c>
    </row>
    <row r="427" spans="1:7" x14ac:dyDescent="0.3">
      <c r="A427" s="19">
        <v>3941</v>
      </c>
      <c r="B427" s="19" t="s">
        <v>1316</v>
      </c>
      <c r="C427" s="19" t="s">
        <v>899</v>
      </c>
      <c r="D427" s="19" t="s">
        <v>939</v>
      </c>
      <c r="E427" s="19" t="s">
        <v>901</v>
      </c>
      <c r="F427" s="19">
        <v>0</v>
      </c>
      <c r="G427" s="43">
        <v>0.37</v>
      </c>
    </row>
    <row r="428" spans="1:7" x14ac:dyDescent="0.3">
      <c r="A428" s="19">
        <v>3943</v>
      </c>
      <c r="B428" s="19" t="s">
        <v>1317</v>
      </c>
      <c r="C428" s="19" t="s">
        <v>899</v>
      </c>
      <c r="D428" s="19" t="s">
        <v>939</v>
      </c>
      <c r="E428" s="19" t="s">
        <v>901</v>
      </c>
      <c r="F428" s="19">
        <v>0</v>
      </c>
      <c r="G428" s="43">
        <v>0.37</v>
      </c>
    </row>
    <row r="429" spans="1:7" x14ac:dyDescent="0.3">
      <c r="A429" s="19">
        <v>3251</v>
      </c>
      <c r="B429" s="19" t="s">
        <v>1318</v>
      </c>
      <c r="C429" s="19" t="s">
        <v>899</v>
      </c>
      <c r="D429" s="19" t="s">
        <v>939</v>
      </c>
      <c r="E429" s="19" t="s">
        <v>901</v>
      </c>
      <c r="F429" s="19">
        <v>0</v>
      </c>
      <c r="G429" s="43">
        <v>1.68</v>
      </c>
    </row>
    <row r="430" spans="1:7" x14ac:dyDescent="0.3">
      <c r="A430" s="19">
        <v>3252</v>
      </c>
      <c r="B430" s="19" t="s">
        <v>1319</v>
      </c>
      <c r="C430" s="19" t="s">
        <v>899</v>
      </c>
      <c r="D430" s="19" t="s">
        <v>939</v>
      </c>
      <c r="E430" s="19" t="s">
        <v>901</v>
      </c>
      <c r="F430" s="19">
        <v>0</v>
      </c>
      <c r="G430" s="43">
        <v>1.68</v>
      </c>
    </row>
    <row r="431" spans="1:7" x14ac:dyDescent="0.3">
      <c r="A431" s="19">
        <v>3253</v>
      </c>
      <c r="B431" s="19" t="s">
        <v>1320</v>
      </c>
      <c r="C431" s="19" t="s">
        <v>899</v>
      </c>
      <c r="D431" s="19" t="s">
        <v>939</v>
      </c>
      <c r="E431" s="19" t="s">
        <v>901</v>
      </c>
      <c r="F431" s="19">
        <v>0</v>
      </c>
      <c r="G431" s="43">
        <v>2.1800000000000002</v>
      </c>
    </row>
    <row r="432" spans="1:7" x14ac:dyDescent="0.3">
      <c r="A432" s="19">
        <v>3938</v>
      </c>
      <c r="B432" s="19" t="s">
        <v>1321</v>
      </c>
      <c r="C432" s="19" t="s">
        <v>899</v>
      </c>
      <c r="D432" s="19" t="s">
        <v>939</v>
      </c>
      <c r="E432" s="19" t="s">
        <v>901</v>
      </c>
      <c r="F432" s="19">
        <v>0</v>
      </c>
      <c r="G432" s="43">
        <v>0.37</v>
      </c>
    </row>
    <row r="433" spans="1:7" x14ac:dyDescent="0.3">
      <c r="A433" s="19">
        <v>3254</v>
      </c>
      <c r="B433" s="19" t="s">
        <v>1322</v>
      </c>
      <c r="C433" s="19" t="s">
        <v>899</v>
      </c>
      <c r="D433" s="19" t="s">
        <v>939</v>
      </c>
      <c r="E433" s="19" t="s">
        <v>901</v>
      </c>
      <c r="F433" s="19">
        <v>0</v>
      </c>
      <c r="G433" s="43">
        <v>1.68</v>
      </c>
    </row>
    <row r="434" spans="1:7" x14ac:dyDescent="0.3">
      <c r="A434" s="19">
        <v>3248</v>
      </c>
      <c r="B434" s="19" t="s">
        <v>1323</v>
      </c>
      <c r="C434" s="19" t="s">
        <v>899</v>
      </c>
      <c r="D434" s="19" t="s">
        <v>939</v>
      </c>
      <c r="E434" s="19" t="s">
        <v>901</v>
      </c>
      <c r="F434" s="19">
        <v>0</v>
      </c>
      <c r="G434" s="43">
        <v>2.1800000000000002</v>
      </c>
    </row>
    <row r="435" spans="1:7" x14ac:dyDescent="0.3">
      <c r="A435" s="19">
        <v>3287</v>
      </c>
      <c r="B435" s="19" t="s">
        <v>1324</v>
      </c>
      <c r="C435" s="19" t="s">
        <v>899</v>
      </c>
      <c r="D435" s="19" t="s">
        <v>939</v>
      </c>
      <c r="E435" s="19" t="s">
        <v>901</v>
      </c>
      <c r="F435" s="19">
        <v>0</v>
      </c>
      <c r="G435" s="43">
        <v>2.1800000000000002</v>
      </c>
    </row>
    <row r="436" spans="1:7" x14ac:dyDescent="0.3">
      <c r="A436" s="19">
        <v>3292</v>
      </c>
      <c r="B436" s="19" t="s">
        <v>1325</v>
      </c>
      <c r="C436" s="19" t="s">
        <v>899</v>
      </c>
      <c r="D436" s="19" t="s">
        <v>939</v>
      </c>
      <c r="E436" s="19" t="s">
        <v>901</v>
      </c>
      <c r="F436" s="19">
        <v>0</v>
      </c>
      <c r="G436" s="43">
        <v>2.1800000000000002</v>
      </c>
    </row>
    <row r="437" spans="1:7" x14ac:dyDescent="0.3">
      <c r="A437" s="19">
        <v>3231</v>
      </c>
      <c r="B437" s="19" t="s">
        <v>1326</v>
      </c>
      <c r="C437" s="19" t="s">
        <v>899</v>
      </c>
      <c r="D437" s="19" t="s">
        <v>939</v>
      </c>
      <c r="E437" s="19" t="s">
        <v>901</v>
      </c>
      <c r="F437" s="19">
        <v>0</v>
      </c>
      <c r="G437" s="43">
        <v>2.1800000000000002</v>
      </c>
    </row>
    <row r="438" spans="1:7" x14ac:dyDescent="0.3">
      <c r="A438" s="19">
        <v>3484</v>
      </c>
      <c r="B438" s="19" t="s">
        <v>1326</v>
      </c>
      <c r="C438" s="19" t="s">
        <v>899</v>
      </c>
      <c r="D438" s="19" t="s">
        <v>939</v>
      </c>
      <c r="E438" s="19" t="s">
        <v>901</v>
      </c>
      <c r="F438" s="19">
        <v>0</v>
      </c>
      <c r="G438" s="43">
        <v>2.1800000000000002</v>
      </c>
    </row>
    <row r="439" spans="1:7" x14ac:dyDescent="0.3">
      <c r="A439" s="19">
        <v>3470</v>
      </c>
      <c r="B439" s="19" t="s">
        <v>1327</v>
      </c>
      <c r="C439" s="19" t="s">
        <v>899</v>
      </c>
      <c r="D439" s="19" t="s">
        <v>939</v>
      </c>
      <c r="E439" s="19" t="s">
        <v>901</v>
      </c>
      <c r="F439" s="19">
        <v>0</v>
      </c>
      <c r="G439" s="43">
        <v>2.1800000000000002</v>
      </c>
    </row>
    <row r="440" spans="1:7" x14ac:dyDescent="0.3">
      <c r="A440" s="19">
        <v>3255</v>
      </c>
      <c r="B440" s="19" t="s">
        <v>1328</v>
      </c>
      <c r="C440" s="19" t="s">
        <v>899</v>
      </c>
      <c r="D440" s="19" t="s">
        <v>939</v>
      </c>
      <c r="E440" s="19" t="s">
        <v>901</v>
      </c>
      <c r="F440" s="19">
        <v>0</v>
      </c>
      <c r="G440" s="43">
        <v>2.1800000000000002</v>
      </c>
    </row>
    <row r="441" spans="1:7" x14ac:dyDescent="0.3">
      <c r="A441" s="19">
        <v>3916</v>
      </c>
      <c r="B441" s="19" t="s">
        <v>1329</v>
      </c>
      <c r="C441" s="19" t="s">
        <v>899</v>
      </c>
      <c r="D441" s="19" t="s">
        <v>939</v>
      </c>
      <c r="E441" s="19" t="s">
        <v>1330</v>
      </c>
      <c r="F441" s="19">
        <v>0</v>
      </c>
      <c r="G441" s="43">
        <v>3.5</v>
      </c>
    </row>
    <row r="442" spans="1:7" x14ac:dyDescent="0.3">
      <c r="A442" s="19">
        <v>3760</v>
      </c>
      <c r="B442" s="19" t="s">
        <v>1331</v>
      </c>
      <c r="C442" s="19" t="s">
        <v>899</v>
      </c>
      <c r="D442" s="19" t="s">
        <v>939</v>
      </c>
      <c r="E442" s="19" t="s">
        <v>1330</v>
      </c>
      <c r="F442" s="19">
        <v>0</v>
      </c>
      <c r="G442" s="43">
        <v>6.8</v>
      </c>
    </row>
    <row r="443" spans="1:7" x14ac:dyDescent="0.3">
      <c r="A443" s="19">
        <v>3838</v>
      </c>
      <c r="B443" s="19" t="s">
        <v>1332</v>
      </c>
      <c r="C443" s="19" t="s">
        <v>899</v>
      </c>
      <c r="D443" s="19" t="s">
        <v>939</v>
      </c>
      <c r="E443" s="19" t="s">
        <v>1330</v>
      </c>
      <c r="F443" s="19">
        <v>0</v>
      </c>
      <c r="G443" s="43">
        <v>3.9</v>
      </c>
    </row>
    <row r="444" spans="1:7" x14ac:dyDescent="0.3">
      <c r="A444" s="19">
        <v>3837</v>
      </c>
      <c r="B444" s="19" t="s">
        <v>1333</v>
      </c>
      <c r="C444" s="19" t="s">
        <v>899</v>
      </c>
      <c r="D444" s="19" t="s">
        <v>939</v>
      </c>
      <c r="E444" s="19" t="s">
        <v>1330</v>
      </c>
      <c r="F444" s="19">
        <v>0</v>
      </c>
      <c r="G444" s="43">
        <v>4.2</v>
      </c>
    </row>
    <row r="445" spans="1:7" x14ac:dyDescent="0.3">
      <c r="A445" s="19">
        <v>3784</v>
      </c>
      <c r="B445" s="19" t="s">
        <v>1334</v>
      </c>
      <c r="C445" s="19" t="s">
        <v>899</v>
      </c>
      <c r="D445" s="19" t="s">
        <v>939</v>
      </c>
      <c r="E445" s="19" t="s">
        <v>1330</v>
      </c>
      <c r="F445" s="19">
        <v>0</v>
      </c>
      <c r="G445" s="43">
        <v>3.3</v>
      </c>
    </row>
    <row r="446" spans="1:7" x14ac:dyDescent="0.3">
      <c r="A446" s="19">
        <v>3761</v>
      </c>
      <c r="B446" s="19" t="s">
        <v>1335</v>
      </c>
      <c r="C446" s="19" t="s">
        <v>899</v>
      </c>
      <c r="D446" s="19" t="s">
        <v>939</v>
      </c>
      <c r="E446" s="19" t="s">
        <v>1330</v>
      </c>
      <c r="F446" s="19">
        <v>0</v>
      </c>
      <c r="G446" s="43">
        <v>3</v>
      </c>
    </row>
    <row r="447" spans="1:7" x14ac:dyDescent="0.3">
      <c r="A447" s="19">
        <v>3440</v>
      </c>
      <c r="B447" s="19" t="s">
        <v>1336</v>
      </c>
      <c r="C447" s="19" t="s">
        <v>899</v>
      </c>
      <c r="D447" s="19" t="s">
        <v>939</v>
      </c>
      <c r="E447" s="19" t="s">
        <v>1330</v>
      </c>
      <c r="F447" s="19">
        <v>0</v>
      </c>
      <c r="G447" s="43">
        <v>4</v>
      </c>
    </row>
    <row r="448" spans="1:7" x14ac:dyDescent="0.3">
      <c r="A448" s="19">
        <v>2255</v>
      </c>
      <c r="B448" s="19" t="s">
        <v>1337</v>
      </c>
      <c r="C448" s="19" t="s">
        <v>1338</v>
      </c>
      <c r="D448" s="19" t="s">
        <v>1339</v>
      </c>
      <c r="E448" s="19" t="s">
        <v>1330</v>
      </c>
      <c r="F448" s="19">
        <v>0</v>
      </c>
      <c r="G448" s="43">
        <v>0</v>
      </c>
    </row>
    <row r="449" spans="1:7" x14ac:dyDescent="0.3">
      <c r="A449" s="19">
        <v>4095</v>
      </c>
      <c r="B449" s="19" t="s">
        <v>1337</v>
      </c>
      <c r="C449" s="19" t="s">
        <v>1338</v>
      </c>
      <c r="D449" s="19" t="s">
        <v>1339</v>
      </c>
      <c r="E449" s="19" t="s">
        <v>1330</v>
      </c>
      <c r="F449" s="19">
        <v>0</v>
      </c>
      <c r="G449" s="43">
        <v>0</v>
      </c>
    </row>
    <row r="450" spans="1:7" x14ac:dyDescent="0.3">
      <c r="A450" s="19">
        <v>2171</v>
      </c>
      <c r="B450" s="19" t="s">
        <v>1340</v>
      </c>
      <c r="C450" s="19" t="s">
        <v>899</v>
      </c>
      <c r="D450" s="19" t="s">
        <v>1341</v>
      </c>
      <c r="E450" s="19" t="s">
        <v>1330</v>
      </c>
      <c r="F450" s="19">
        <v>0</v>
      </c>
      <c r="G450" s="43">
        <v>0.65</v>
      </c>
    </row>
    <row r="451" spans="1:7" x14ac:dyDescent="0.3">
      <c r="A451" s="19">
        <v>2223</v>
      </c>
      <c r="B451" s="19" t="s">
        <v>1342</v>
      </c>
      <c r="C451" s="19" t="s">
        <v>899</v>
      </c>
      <c r="D451" s="19" t="s">
        <v>1341</v>
      </c>
      <c r="E451" s="19" t="s">
        <v>1330</v>
      </c>
      <c r="F451" s="19">
        <v>0</v>
      </c>
      <c r="G451" s="43">
        <v>1.85</v>
      </c>
    </row>
    <row r="452" spans="1:7" x14ac:dyDescent="0.3">
      <c r="A452" s="19">
        <v>1602</v>
      </c>
      <c r="B452" s="19" t="s">
        <v>1343</v>
      </c>
      <c r="C452" s="19" t="s">
        <v>899</v>
      </c>
      <c r="D452" s="19" t="s">
        <v>1341</v>
      </c>
      <c r="E452" s="19" t="s">
        <v>1330</v>
      </c>
      <c r="F452" s="19">
        <v>0</v>
      </c>
      <c r="G452" s="43">
        <v>3.2</v>
      </c>
    </row>
    <row r="453" spans="1:7" x14ac:dyDescent="0.3">
      <c r="A453" s="19">
        <v>3993</v>
      </c>
      <c r="B453" s="19" t="s">
        <v>1344</v>
      </c>
      <c r="C453" s="19" t="s">
        <v>899</v>
      </c>
      <c r="D453" s="19" t="s">
        <v>1341</v>
      </c>
      <c r="E453" s="19" t="s">
        <v>1330</v>
      </c>
      <c r="F453" s="19">
        <v>0</v>
      </c>
      <c r="G453" s="43">
        <v>2.6</v>
      </c>
    </row>
    <row r="454" spans="1:7" x14ac:dyDescent="0.3">
      <c r="A454" s="19">
        <v>2137</v>
      </c>
      <c r="B454" s="19" t="s">
        <v>1345</v>
      </c>
      <c r="C454" s="19" t="s">
        <v>899</v>
      </c>
      <c r="D454" s="19" t="s">
        <v>1341</v>
      </c>
      <c r="E454" s="19" t="s">
        <v>1330</v>
      </c>
      <c r="F454" s="19">
        <v>0</v>
      </c>
      <c r="G454" s="43">
        <v>6.8</v>
      </c>
    </row>
    <row r="455" spans="1:7" x14ac:dyDescent="0.3">
      <c r="A455" s="19">
        <v>3817</v>
      </c>
      <c r="B455" s="19" t="s">
        <v>1346</v>
      </c>
      <c r="C455" s="19" t="s">
        <v>899</v>
      </c>
      <c r="D455" s="19" t="s">
        <v>1341</v>
      </c>
      <c r="E455" s="19" t="s">
        <v>1330</v>
      </c>
      <c r="F455" s="19">
        <v>0</v>
      </c>
      <c r="G455" s="43">
        <v>7.01</v>
      </c>
    </row>
    <row r="456" spans="1:7" x14ac:dyDescent="0.3">
      <c r="A456" s="19">
        <v>583</v>
      </c>
      <c r="B456" s="19" t="s">
        <v>1347</v>
      </c>
      <c r="C456" s="19" t="s">
        <v>899</v>
      </c>
      <c r="D456" s="19" t="s">
        <v>1341</v>
      </c>
      <c r="E456" s="19" t="s">
        <v>1330</v>
      </c>
      <c r="F456" s="19">
        <v>0</v>
      </c>
      <c r="G456" s="43">
        <v>5.76</v>
      </c>
    </row>
    <row r="457" spans="1:7" x14ac:dyDescent="0.3">
      <c r="A457" s="19">
        <v>2497</v>
      </c>
      <c r="B457" s="19" t="s">
        <v>1348</v>
      </c>
      <c r="C457" s="19" t="s">
        <v>899</v>
      </c>
      <c r="D457" s="19" t="s">
        <v>1341</v>
      </c>
      <c r="E457" s="19" t="s">
        <v>1330</v>
      </c>
      <c r="F457" s="19">
        <v>0</v>
      </c>
      <c r="G457" s="43">
        <v>4.7699999999999996</v>
      </c>
    </row>
    <row r="458" spans="1:7" x14ac:dyDescent="0.3">
      <c r="A458" s="19">
        <v>2232</v>
      </c>
      <c r="B458" s="19" t="s">
        <v>1349</v>
      </c>
      <c r="C458" s="19" t="s">
        <v>899</v>
      </c>
      <c r="D458" s="19" t="s">
        <v>1341</v>
      </c>
      <c r="E458" s="19" t="s">
        <v>1330</v>
      </c>
      <c r="F458" s="19">
        <v>0</v>
      </c>
      <c r="G458" s="43">
        <v>4.32</v>
      </c>
    </row>
    <row r="459" spans="1:7" x14ac:dyDescent="0.3">
      <c r="A459" s="19">
        <v>2176</v>
      </c>
      <c r="B459" s="19" t="s">
        <v>1350</v>
      </c>
      <c r="C459" s="19" t="s">
        <v>899</v>
      </c>
      <c r="D459" s="19" t="s">
        <v>1341</v>
      </c>
      <c r="E459" s="19" t="s">
        <v>1330</v>
      </c>
      <c r="F459" s="19">
        <v>0</v>
      </c>
      <c r="G459" s="43">
        <v>3.3</v>
      </c>
    </row>
    <row r="460" spans="1:7" x14ac:dyDescent="0.3">
      <c r="A460" s="19">
        <v>2002</v>
      </c>
      <c r="B460" s="19" t="s">
        <v>1351</v>
      </c>
      <c r="C460" s="19" t="s">
        <v>899</v>
      </c>
      <c r="D460" s="19" t="s">
        <v>1341</v>
      </c>
      <c r="E460" s="19" t="s">
        <v>1330</v>
      </c>
      <c r="F460" s="19">
        <v>0</v>
      </c>
      <c r="G460" s="43">
        <v>1.65</v>
      </c>
    </row>
    <row r="461" spans="1:7" x14ac:dyDescent="0.3">
      <c r="A461" s="19">
        <v>437</v>
      </c>
      <c r="B461" s="19" t="s">
        <v>1352</v>
      </c>
      <c r="C461" s="19" t="s">
        <v>899</v>
      </c>
      <c r="D461" s="19" t="s">
        <v>1341</v>
      </c>
      <c r="E461" s="19" t="s">
        <v>1330</v>
      </c>
      <c r="F461" s="19">
        <v>0</v>
      </c>
      <c r="G461" s="43">
        <v>2.9</v>
      </c>
    </row>
    <row r="462" spans="1:7" x14ac:dyDescent="0.3">
      <c r="A462" s="19">
        <v>2007</v>
      </c>
      <c r="B462" s="19" t="s">
        <v>1353</v>
      </c>
      <c r="C462" s="19" t="s">
        <v>899</v>
      </c>
      <c r="D462" s="19" t="s">
        <v>1341</v>
      </c>
      <c r="E462" s="19" t="s">
        <v>1330</v>
      </c>
      <c r="F462" s="19">
        <v>0</v>
      </c>
      <c r="G462" s="43">
        <v>2.4</v>
      </c>
    </row>
    <row r="463" spans="1:7" x14ac:dyDescent="0.3">
      <c r="A463" s="19">
        <v>2097</v>
      </c>
      <c r="B463" s="19" t="s">
        <v>1354</v>
      </c>
      <c r="C463" s="19" t="s">
        <v>899</v>
      </c>
      <c r="D463" s="19" t="s">
        <v>1341</v>
      </c>
      <c r="E463" s="19" t="s">
        <v>1330</v>
      </c>
      <c r="F463" s="19">
        <v>0</v>
      </c>
      <c r="G463" s="43">
        <v>3</v>
      </c>
    </row>
    <row r="464" spans="1:7" x14ac:dyDescent="0.3">
      <c r="A464" s="19">
        <v>2109</v>
      </c>
      <c r="B464" s="19" t="s">
        <v>1355</v>
      </c>
      <c r="C464" s="19" t="s">
        <v>899</v>
      </c>
      <c r="D464" s="19" t="s">
        <v>1341</v>
      </c>
      <c r="E464" s="19" t="s">
        <v>1330</v>
      </c>
      <c r="F464" s="19">
        <v>0</v>
      </c>
      <c r="G464" s="43">
        <v>2.85</v>
      </c>
    </row>
    <row r="465" spans="1:7" x14ac:dyDescent="0.3">
      <c r="A465" s="19">
        <v>4076</v>
      </c>
      <c r="B465" s="19" t="s">
        <v>1356</v>
      </c>
      <c r="C465" s="19" t="s">
        <v>1338</v>
      </c>
      <c r="D465" s="19" t="s">
        <v>1341</v>
      </c>
      <c r="E465" s="19" t="s">
        <v>1330</v>
      </c>
      <c r="F465" s="19">
        <v>0</v>
      </c>
      <c r="G465" s="43">
        <v>4.4000000000000004</v>
      </c>
    </row>
    <row r="466" spans="1:7" x14ac:dyDescent="0.3">
      <c r="A466" s="19">
        <v>2402</v>
      </c>
      <c r="B466" s="19" t="s">
        <v>1357</v>
      </c>
      <c r="C466" s="19" t="s">
        <v>899</v>
      </c>
      <c r="D466" s="19" t="s">
        <v>1341</v>
      </c>
      <c r="E466" s="19" t="s">
        <v>1330</v>
      </c>
      <c r="F466" s="19">
        <v>0</v>
      </c>
      <c r="G466" s="43">
        <v>4.2</v>
      </c>
    </row>
    <row r="467" spans="1:7" x14ac:dyDescent="0.3">
      <c r="A467" s="19">
        <v>2233</v>
      </c>
      <c r="B467" s="19" t="s">
        <v>1358</v>
      </c>
      <c r="C467" s="19" t="s">
        <v>899</v>
      </c>
      <c r="D467" s="19" t="s">
        <v>1341</v>
      </c>
      <c r="E467" s="19" t="s">
        <v>1330</v>
      </c>
      <c r="F467" s="19">
        <v>0</v>
      </c>
      <c r="G467" s="43">
        <v>5.0999999999999996</v>
      </c>
    </row>
    <row r="468" spans="1:7" x14ac:dyDescent="0.3">
      <c r="A468" s="19">
        <v>2153</v>
      </c>
      <c r="B468" s="19" t="s">
        <v>1359</v>
      </c>
      <c r="C468" s="19" t="s">
        <v>899</v>
      </c>
      <c r="D468" s="19" t="s">
        <v>1341</v>
      </c>
      <c r="E468" s="19" t="s">
        <v>1330</v>
      </c>
      <c r="F468" s="19">
        <v>0</v>
      </c>
      <c r="G468" s="43">
        <v>5.8</v>
      </c>
    </row>
    <row r="469" spans="1:7" x14ac:dyDescent="0.3">
      <c r="A469" s="19">
        <v>1603</v>
      </c>
      <c r="B469" s="19" t="s">
        <v>1360</v>
      </c>
      <c r="C469" s="19" t="s">
        <v>899</v>
      </c>
      <c r="D469" s="19" t="s">
        <v>1341</v>
      </c>
      <c r="E469" s="19" t="s">
        <v>1330</v>
      </c>
      <c r="F469" s="19">
        <v>0</v>
      </c>
      <c r="G469" s="43">
        <v>4.4000000000000004</v>
      </c>
    </row>
    <row r="470" spans="1:7" x14ac:dyDescent="0.3">
      <c r="A470" s="19">
        <v>1146</v>
      </c>
      <c r="B470" s="19" t="s">
        <v>1361</v>
      </c>
      <c r="C470" s="19" t="s">
        <v>899</v>
      </c>
      <c r="D470" s="19" t="s">
        <v>939</v>
      </c>
      <c r="E470" s="19" t="s">
        <v>1330</v>
      </c>
      <c r="F470" s="19">
        <v>0</v>
      </c>
      <c r="G470" s="43">
        <v>0</v>
      </c>
    </row>
    <row r="471" spans="1:7" x14ac:dyDescent="0.3">
      <c r="A471" s="19">
        <v>3675</v>
      </c>
      <c r="B471" s="19" t="s">
        <v>1362</v>
      </c>
      <c r="C471" s="19" t="s">
        <v>899</v>
      </c>
      <c r="D471" s="19" t="s">
        <v>1363</v>
      </c>
      <c r="E471" s="19" t="s">
        <v>1118</v>
      </c>
      <c r="F471" s="19">
        <v>0</v>
      </c>
      <c r="G471" s="43">
        <v>0.01</v>
      </c>
    </row>
    <row r="472" spans="1:7" x14ac:dyDescent="0.3">
      <c r="A472" s="19">
        <v>3732</v>
      </c>
      <c r="B472" s="19" t="s">
        <v>1364</v>
      </c>
      <c r="C472" s="19" t="s">
        <v>899</v>
      </c>
      <c r="D472" s="19" t="s">
        <v>1365</v>
      </c>
      <c r="E472" s="19" t="s">
        <v>1118</v>
      </c>
      <c r="F472" s="19">
        <v>0</v>
      </c>
      <c r="G472" s="43">
        <v>0.01</v>
      </c>
    </row>
    <row r="473" spans="1:7" x14ac:dyDescent="0.3">
      <c r="A473" s="19">
        <v>3976</v>
      </c>
      <c r="B473" s="19" t="s">
        <v>1366</v>
      </c>
      <c r="C473" s="19" t="s">
        <v>899</v>
      </c>
      <c r="D473" s="19" t="s">
        <v>1117</v>
      </c>
      <c r="E473" s="19" t="s">
        <v>1118</v>
      </c>
      <c r="F473" s="19">
        <v>0</v>
      </c>
      <c r="G473" s="43">
        <v>0.21</v>
      </c>
    </row>
    <row r="474" spans="1:7" x14ac:dyDescent="0.3">
      <c r="A474" s="19">
        <v>2367</v>
      </c>
      <c r="B474" s="19" t="s">
        <v>1367</v>
      </c>
      <c r="C474" s="19" t="s">
        <v>899</v>
      </c>
      <c r="D474" s="19" t="s">
        <v>1045</v>
      </c>
      <c r="E474" s="19" t="s">
        <v>1118</v>
      </c>
      <c r="F474" s="19">
        <v>0</v>
      </c>
      <c r="G474" s="43">
        <v>0.23</v>
      </c>
    </row>
    <row r="475" spans="1:7" x14ac:dyDescent="0.3">
      <c r="A475" s="19">
        <v>3781</v>
      </c>
      <c r="B475" s="19" t="s">
        <v>1368</v>
      </c>
      <c r="C475" s="19" t="s">
        <v>899</v>
      </c>
      <c r="D475" s="19" t="s">
        <v>1117</v>
      </c>
      <c r="E475" s="19" t="s">
        <v>1118</v>
      </c>
      <c r="F475" s="19">
        <v>0</v>
      </c>
      <c r="G475" s="43">
        <v>0.17</v>
      </c>
    </row>
    <row r="476" spans="1:7" x14ac:dyDescent="0.3">
      <c r="A476" s="19">
        <v>3403</v>
      </c>
      <c r="B476" s="19" t="s">
        <v>1369</v>
      </c>
      <c r="C476" s="19" t="s">
        <v>899</v>
      </c>
      <c r="D476" s="19" t="s">
        <v>1045</v>
      </c>
      <c r="E476" s="19" t="s">
        <v>1118</v>
      </c>
      <c r="F476" s="19">
        <v>0</v>
      </c>
      <c r="G476" s="43">
        <v>0.35</v>
      </c>
    </row>
    <row r="477" spans="1:7" x14ac:dyDescent="0.3">
      <c r="A477" s="19">
        <v>3962</v>
      </c>
      <c r="B477" s="19" t="s">
        <v>1370</v>
      </c>
      <c r="C477" s="19" t="s">
        <v>899</v>
      </c>
      <c r="D477" s="19" t="s">
        <v>1045</v>
      </c>
      <c r="E477" s="19" t="s">
        <v>1118</v>
      </c>
      <c r="F477" s="19">
        <v>0</v>
      </c>
      <c r="G477" s="43">
        <v>0.28000000000000003</v>
      </c>
    </row>
    <row r="478" spans="1:7" x14ac:dyDescent="0.3">
      <c r="A478" s="19">
        <v>3963</v>
      </c>
      <c r="B478" s="19" t="s">
        <v>1371</v>
      </c>
      <c r="C478" s="19" t="s">
        <v>899</v>
      </c>
      <c r="D478" s="19" t="s">
        <v>1045</v>
      </c>
      <c r="E478" s="19" t="s">
        <v>1118</v>
      </c>
      <c r="F478" s="19">
        <v>0</v>
      </c>
      <c r="G478" s="43">
        <v>0.78</v>
      </c>
    </row>
    <row r="479" spans="1:7" x14ac:dyDescent="0.3">
      <c r="A479" s="19">
        <v>3279</v>
      </c>
      <c r="B479" s="19" t="s">
        <v>1372</v>
      </c>
      <c r="C479" s="19" t="s">
        <v>899</v>
      </c>
      <c r="D479" s="19" t="s">
        <v>1045</v>
      </c>
      <c r="E479" s="19" t="s">
        <v>1118</v>
      </c>
      <c r="F479" s="19">
        <v>0</v>
      </c>
      <c r="G479" s="43">
        <v>0.5</v>
      </c>
    </row>
    <row r="480" spans="1:7" x14ac:dyDescent="0.3">
      <c r="A480" s="19">
        <v>3280</v>
      </c>
      <c r="B480" s="19" t="s">
        <v>1373</v>
      </c>
      <c r="C480" s="19" t="s">
        <v>899</v>
      </c>
      <c r="D480" s="19" t="s">
        <v>1045</v>
      </c>
      <c r="E480" s="19" t="s">
        <v>1118</v>
      </c>
      <c r="F480" s="19">
        <v>0</v>
      </c>
      <c r="G480" s="43">
        <v>0.5</v>
      </c>
    </row>
    <row r="481" spans="1:7" x14ac:dyDescent="0.3">
      <c r="A481" s="19">
        <v>2623</v>
      </c>
      <c r="B481" s="19" t="s">
        <v>1374</v>
      </c>
      <c r="C481" s="19" t="s">
        <v>899</v>
      </c>
      <c r="D481" s="19" t="s">
        <v>1045</v>
      </c>
      <c r="E481" s="19" t="s">
        <v>1118</v>
      </c>
      <c r="F481" s="19">
        <v>0</v>
      </c>
      <c r="G481" s="43">
        <v>0.5</v>
      </c>
    </row>
    <row r="482" spans="1:7" x14ac:dyDescent="0.3">
      <c r="A482" s="19">
        <v>3157</v>
      </c>
      <c r="B482" s="19" t="s">
        <v>1375</v>
      </c>
      <c r="C482" s="19" t="s">
        <v>899</v>
      </c>
      <c r="D482" s="19" t="s">
        <v>1045</v>
      </c>
      <c r="E482" s="19" t="s">
        <v>1118</v>
      </c>
      <c r="F482" s="19">
        <v>0</v>
      </c>
      <c r="G482" s="43">
        <v>0.5</v>
      </c>
    </row>
    <row r="483" spans="1:7" x14ac:dyDescent="0.3">
      <c r="A483" s="19">
        <v>3159</v>
      </c>
      <c r="B483" s="19" t="s">
        <v>1376</v>
      </c>
      <c r="C483" s="19" t="s">
        <v>899</v>
      </c>
      <c r="D483" s="19" t="s">
        <v>1045</v>
      </c>
      <c r="E483" s="19" t="s">
        <v>1118</v>
      </c>
      <c r="F483" s="19">
        <v>0</v>
      </c>
      <c r="G483" s="43">
        <v>0.5</v>
      </c>
    </row>
    <row r="484" spans="1:7" x14ac:dyDescent="0.3">
      <c r="A484" s="19">
        <v>3142</v>
      </c>
      <c r="B484" s="19" t="s">
        <v>1377</v>
      </c>
      <c r="C484" s="19" t="s">
        <v>899</v>
      </c>
      <c r="D484" s="19" t="s">
        <v>1045</v>
      </c>
      <c r="E484" s="19" t="s">
        <v>1118</v>
      </c>
      <c r="F484" s="19">
        <v>0</v>
      </c>
      <c r="G484" s="43">
        <v>0.5</v>
      </c>
    </row>
    <row r="485" spans="1:7" x14ac:dyDescent="0.3">
      <c r="A485" s="19">
        <v>3156</v>
      </c>
      <c r="B485" s="19" t="s">
        <v>1378</v>
      </c>
      <c r="C485" s="19" t="s">
        <v>899</v>
      </c>
      <c r="D485" s="19" t="s">
        <v>1045</v>
      </c>
      <c r="E485" s="19" t="s">
        <v>1118</v>
      </c>
      <c r="F485" s="19">
        <v>0</v>
      </c>
      <c r="G485" s="43">
        <v>0.5</v>
      </c>
    </row>
    <row r="486" spans="1:7" x14ac:dyDescent="0.3">
      <c r="A486" s="19">
        <v>3167</v>
      </c>
      <c r="B486" s="19" t="s">
        <v>1379</v>
      </c>
      <c r="C486" s="19" t="s">
        <v>899</v>
      </c>
      <c r="D486" s="19" t="s">
        <v>1045</v>
      </c>
      <c r="E486" s="19" t="s">
        <v>1118</v>
      </c>
      <c r="F486" s="19">
        <v>0</v>
      </c>
      <c r="G486" s="43">
        <v>0.5</v>
      </c>
    </row>
    <row r="487" spans="1:7" x14ac:dyDescent="0.3">
      <c r="A487" s="19">
        <v>3158</v>
      </c>
      <c r="B487" s="19" t="s">
        <v>1380</v>
      </c>
      <c r="C487" s="19" t="s">
        <v>899</v>
      </c>
      <c r="D487" s="19" t="s">
        <v>1045</v>
      </c>
      <c r="E487" s="19" t="s">
        <v>1118</v>
      </c>
      <c r="F487" s="19">
        <v>0</v>
      </c>
      <c r="G487" s="43">
        <v>0.5</v>
      </c>
    </row>
    <row r="488" spans="1:7" x14ac:dyDescent="0.3">
      <c r="A488" s="19">
        <v>3764</v>
      </c>
      <c r="B488" s="19" t="s">
        <v>1381</v>
      </c>
      <c r="C488" s="19" t="s">
        <v>899</v>
      </c>
      <c r="D488" s="19" t="s">
        <v>1153</v>
      </c>
      <c r="E488" s="19" t="s">
        <v>1118</v>
      </c>
      <c r="F488" s="19">
        <v>0</v>
      </c>
      <c r="G488" s="43">
        <v>0.54</v>
      </c>
    </row>
    <row r="489" spans="1:7" x14ac:dyDescent="0.3">
      <c r="A489" s="19">
        <v>3627</v>
      </c>
      <c r="B489" s="19" t="s">
        <v>1382</v>
      </c>
      <c r="C489" s="19" t="s">
        <v>899</v>
      </c>
      <c r="D489" s="19" t="s">
        <v>1045</v>
      </c>
      <c r="E489" s="19" t="s">
        <v>1118</v>
      </c>
      <c r="F489" s="19">
        <v>0</v>
      </c>
      <c r="G489" s="43">
        <v>0.35</v>
      </c>
    </row>
    <row r="490" spans="1:7" x14ac:dyDescent="0.3">
      <c r="A490" s="19">
        <v>3474</v>
      </c>
      <c r="B490" s="19" t="s">
        <v>1383</v>
      </c>
      <c r="C490" s="19" t="s">
        <v>899</v>
      </c>
      <c r="D490" s="19" t="s">
        <v>1045</v>
      </c>
      <c r="E490" s="19" t="s">
        <v>1118</v>
      </c>
      <c r="F490" s="19">
        <v>0</v>
      </c>
      <c r="G490" s="43">
        <v>0.2</v>
      </c>
    </row>
    <row r="491" spans="1:7" x14ac:dyDescent="0.3">
      <c r="A491" s="19">
        <v>3475</v>
      </c>
      <c r="B491" s="19" t="s">
        <v>1384</v>
      </c>
      <c r="C491" s="19" t="s">
        <v>899</v>
      </c>
      <c r="D491" s="19" t="s">
        <v>1045</v>
      </c>
      <c r="E491" s="19" t="s">
        <v>1118</v>
      </c>
      <c r="F491" s="19">
        <v>0</v>
      </c>
      <c r="G491" s="43">
        <v>0.2</v>
      </c>
    </row>
    <row r="492" spans="1:7" x14ac:dyDescent="0.3">
      <c r="A492" s="19">
        <v>3482</v>
      </c>
      <c r="B492" s="19" t="s">
        <v>1385</v>
      </c>
      <c r="C492" s="19" t="s">
        <v>899</v>
      </c>
      <c r="D492" s="19" t="s">
        <v>1045</v>
      </c>
      <c r="E492" s="19" t="s">
        <v>1118</v>
      </c>
      <c r="F492" s="19">
        <v>0</v>
      </c>
      <c r="G492" s="43">
        <v>0.17</v>
      </c>
    </row>
    <row r="493" spans="1:7" x14ac:dyDescent="0.3">
      <c r="A493" s="19">
        <v>3476</v>
      </c>
      <c r="B493" s="19" t="s">
        <v>1386</v>
      </c>
      <c r="C493" s="19" t="s">
        <v>899</v>
      </c>
      <c r="D493" s="19" t="s">
        <v>1045</v>
      </c>
      <c r="E493" s="19" t="s">
        <v>1118</v>
      </c>
      <c r="F493" s="19">
        <v>0</v>
      </c>
      <c r="G493" s="43">
        <v>0.2</v>
      </c>
    </row>
    <row r="494" spans="1:7" x14ac:dyDescent="0.3">
      <c r="A494" s="19">
        <v>3707</v>
      </c>
      <c r="B494" s="19" t="s">
        <v>1387</v>
      </c>
      <c r="C494" s="19" t="s">
        <v>899</v>
      </c>
      <c r="D494" s="19" t="s">
        <v>1363</v>
      </c>
      <c r="E494" s="19" t="s">
        <v>1118</v>
      </c>
      <c r="F494" s="19">
        <v>0</v>
      </c>
      <c r="G494" s="43">
        <v>0.2</v>
      </c>
    </row>
    <row r="495" spans="1:7" x14ac:dyDescent="0.3">
      <c r="A495" s="19">
        <v>3477</v>
      </c>
      <c r="B495" s="19" t="s">
        <v>1388</v>
      </c>
      <c r="C495" s="19" t="s">
        <v>899</v>
      </c>
      <c r="D495" s="19" t="s">
        <v>1045</v>
      </c>
      <c r="E495" s="19" t="s">
        <v>1118</v>
      </c>
      <c r="F495" s="19">
        <v>0</v>
      </c>
      <c r="G495" s="43">
        <v>0.2</v>
      </c>
    </row>
    <row r="496" spans="1:7" x14ac:dyDescent="0.3">
      <c r="A496" s="19">
        <v>3478</v>
      </c>
      <c r="B496" s="19" t="s">
        <v>1389</v>
      </c>
      <c r="C496" s="19" t="s">
        <v>899</v>
      </c>
      <c r="D496" s="19" t="s">
        <v>1045</v>
      </c>
      <c r="E496" s="19" t="s">
        <v>1118</v>
      </c>
      <c r="F496" s="19">
        <v>0</v>
      </c>
      <c r="G496" s="43">
        <v>0.2</v>
      </c>
    </row>
    <row r="497" spans="1:7" x14ac:dyDescent="0.3">
      <c r="A497" s="19">
        <v>3481</v>
      </c>
      <c r="B497" s="19" t="s">
        <v>1390</v>
      </c>
      <c r="C497" s="19" t="s">
        <v>899</v>
      </c>
      <c r="D497" s="19" t="s">
        <v>1045</v>
      </c>
      <c r="E497" s="19" t="s">
        <v>1118</v>
      </c>
      <c r="F497" s="19">
        <v>0</v>
      </c>
      <c r="G497" s="43">
        <v>0.2</v>
      </c>
    </row>
    <row r="498" spans="1:7" x14ac:dyDescent="0.3">
      <c r="A498" s="19">
        <v>3483</v>
      </c>
      <c r="B498" s="19" t="s">
        <v>1391</v>
      </c>
      <c r="C498" s="19" t="s">
        <v>899</v>
      </c>
      <c r="D498" s="19" t="s">
        <v>1045</v>
      </c>
      <c r="E498" s="19" t="s">
        <v>1118</v>
      </c>
      <c r="F498" s="19">
        <v>0</v>
      </c>
      <c r="G498" s="43">
        <v>0.17</v>
      </c>
    </row>
    <row r="499" spans="1:7" x14ac:dyDescent="0.3">
      <c r="A499" s="19">
        <v>3479</v>
      </c>
      <c r="B499" s="19" t="s">
        <v>1392</v>
      </c>
      <c r="C499" s="19" t="s">
        <v>899</v>
      </c>
      <c r="D499" s="19" t="s">
        <v>1045</v>
      </c>
      <c r="E499" s="19" t="s">
        <v>1118</v>
      </c>
      <c r="F499" s="19">
        <v>0</v>
      </c>
      <c r="G499" s="43">
        <v>0.2</v>
      </c>
    </row>
    <row r="500" spans="1:7" x14ac:dyDescent="0.3">
      <c r="A500" s="19">
        <v>3480</v>
      </c>
      <c r="B500" s="19" t="s">
        <v>1393</v>
      </c>
      <c r="C500" s="19" t="s">
        <v>899</v>
      </c>
      <c r="D500" s="19" t="s">
        <v>1045</v>
      </c>
      <c r="E500" s="19" t="s">
        <v>1118</v>
      </c>
      <c r="F500" s="19">
        <v>0</v>
      </c>
      <c r="G500" s="43">
        <v>0.2</v>
      </c>
    </row>
    <row r="501" spans="1:7" x14ac:dyDescent="0.3">
      <c r="A501" s="19">
        <v>3143</v>
      </c>
      <c r="B501" s="19" t="s">
        <v>1394</v>
      </c>
      <c r="C501" s="19" t="s">
        <v>1395</v>
      </c>
      <c r="D501" s="19" t="s">
        <v>1396</v>
      </c>
      <c r="E501" s="19" t="s">
        <v>1118</v>
      </c>
      <c r="F501" s="19">
        <v>0</v>
      </c>
      <c r="G501" s="43">
        <v>41.5</v>
      </c>
    </row>
    <row r="502" spans="1:7" x14ac:dyDescent="0.3">
      <c r="A502" s="19">
        <v>3835</v>
      </c>
      <c r="B502" s="19" t="s">
        <v>1397</v>
      </c>
      <c r="C502" s="19" t="s">
        <v>899</v>
      </c>
      <c r="D502" s="19" t="s">
        <v>1117</v>
      </c>
      <c r="E502" s="19" t="s">
        <v>1118</v>
      </c>
      <c r="F502" s="19">
        <v>0</v>
      </c>
      <c r="G502" s="43">
        <v>0.19</v>
      </c>
    </row>
    <row r="503" spans="1:7" x14ac:dyDescent="0.3">
      <c r="A503" s="19">
        <v>2663</v>
      </c>
      <c r="B503" s="19" t="s">
        <v>1398</v>
      </c>
      <c r="C503" s="19" t="s">
        <v>899</v>
      </c>
      <c r="D503" s="19" t="s">
        <v>1045</v>
      </c>
      <c r="E503" s="19" t="s">
        <v>1118</v>
      </c>
      <c r="F503" s="19">
        <v>0</v>
      </c>
      <c r="G503" s="43">
        <v>0.28999999999999998</v>
      </c>
    </row>
    <row r="504" spans="1:7" x14ac:dyDescent="0.3">
      <c r="A504" s="19">
        <v>2662</v>
      </c>
      <c r="B504" s="19" t="s">
        <v>1399</v>
      </c>
      <c r="C504" s="19" t="s">
        <v>899</v>
      </c>
      <c r="D504" s="19" t="s">
        <v>1045</v>
      </c>
      <c r="E504" s="19" t="s">
        <v>1118</v>
      </c>
      <c r="F504" s="19">
        <v>0</v>
      </c>
      <c r="G504" s="43">
        <v>0.25</v>
      </c>
    </row>
    <row r="505" spans="1:7" x14ac:dyDescent="0.3">
      <c r="A505" s="19">
        <v>3408</v>
      </c>
      <c r="B505" s="19" t="s">
        <v>1400</v>
      </c>
      <c r="C505" s="19" t="s">
        <v>899</v>
      </c>
      <c r="D505" s="19" t="s">
        <v>1401</v>
      </c>
      <c r="E505" s="19" t="s">
        <v>1118</v>
      </c>
      <c r="F505" s="19">
        <v>0</v>
      </c>
      <c r="G505" s="43">
        <v>78.38</v>
      </c>
    </row>
    <row r="506" spans="1:7" x14ac:dyDescent="0.3">
      <c r="A506" s="19">
        <v>4011</v>
      </c>
      <c r="B506" s="19" t="s">
        <v>1402</v>
      </c>
      <c r="C506" s="19" t="s">
        <v>899</v>
      </c>
      <c r="D506" s="19" t="s">
        <v>1207</v>
      </c>
      <c r="E506" s="19" t="s">
        <v>1118</v>
      </c>
      <c r="F506" s="19">
        <v>0</v>
      </c>
      <c r="G506" s="43">
        <v>0.15</v>
      </c>
    </row>
    <row r="507" spans="1:7" x14ac:dyDescent="0.3">
      <c r="A507" s="19">
        <v>3798</v>
      </c>
      <c r="B507" s="19" t="s">
        <v>1403</v>
      </c>
      <c r="C507" s="19" t="s">
        <v>899</v>
      </c>
      <c r="D507" s="19" t="s">
        <v>1045</v>
      </c>
      <c r="E507" s="19" t="s">
        <v>1118</v>
      </c>
      <c r="F507" s="19">
        <v>0</v>
      </c>
      <c r="G507" s="43">
        <v>0.35</v>
      </c>
    </row>
    <row r="508" spans="1:7" x14ac:dyDescent="0.3">
      <c r="A508" s="19">
        <v>1892</v>
      </c>
      <c r="B508" s="19" t="s">
        <v>1404</v>
      </c>
      <c r="C508" s="19" t="s">
        <v>899</v>
      </c>
      <c r="D508" s="19" t="s">
        <v>1405</v>
      </c>
      <c r="E508" s="19" t="s">
        <v>901</v>
      </c>
      <c r="F508" s="19">
        <v>0</v>
      </c>
      <c r="G508" s="43">
        <v>8.9600000000000009</v>
      </c>
    </row>
    <row r="509" spans="1:7" x14ac:dyDescent="0.3">
      <c r="A509" s="19">
        <v>4035</v>
      </c>
      <c r="B509" s="19" t="s">
        <v>1406</v>
      </c>
      <c r="C509" s="19" t="s">
        <v>899</v>
      </c>
      <c r="D509" s="19" t="s">
        <v>1045</v>
      </c>
      <c r="E509" s="19" t="s">
        <v>1118</v>
      </c>
      <c r="F509" s="19">
        <v>0</v>
      </c>
      <c r="G509" s="43">
        <v>0.2</v>
      </c>
    </row>
    <row r="510" spans="1:7" x14ac:dyDescent="0.3">
      <c r="A510" s="19">
        <v>1764</v>
      </c>
      <c r="B510" s="19" t="s">
        <v>1407</v>
      </c>
      <c r="C510" s="19" t="s">
        <v>1242</v>
      </c>
      <c r="D510" s="19" t="s">
        <v>934</v>
      </c>
      <c r="E510" s="19" t="s">
        <v>815</v>
      </c>
      <c r="F510" s="19">
        <v>0</v>
      </c>
      <c r="G510" s="43">
        <v>52.37</v>
      </c>
    </row>
    <row r="511" spans="1:7" x14ac:dyDescent="0.3">
      <c r="A511" s="19">
        <v>3084</v>
      </c>
      <c r="B511" s="19" t="s">
        <v>1408</v>
      </c>
      <c r="C511" s="19" t="s">
        <v>899</v>
      </c>
      <c r="D511" s="19" t="s">
        <v>939</v>
      </c>
      <c r="E511" s="19" t="s">
        <v>1330</v>
      </c>
      <c r="F511" s="19">
        <v>0</v>
      </c>
      <c r="G511" s="43">
        <v>8.27</v>
      </c>
    </row>
    <row r="512" spans="1:7" x14ac:dyDescent="0.3">
      <c r="A512" s="19">
        <v>3029</v>
      </c>
      <c r="B512" s="19" t="s">
        <v>1409</v>
      </c>
      <c r="C512" s="19" t="s">
        <v>899</v>
      </c>
      <c r="D512" s="19" t="s">
        <v>939</v>
      </c>
      <c r="E512" s="19" t="s">
        <v>1330</v>
      </c>
      <c r="F512" s="19">
        <v>0</v>
      </c>
      <c r="G512" s="43">
        <v>29.99</v>
      </c>
    </row>
    <row r="513" spans="1:7" x14ac:dyDescent="0.3">
      <c r="A513" s="19">
        <v>3085</v>
      </c>
      <c r="B513" s="19" t="s">
        <v>1410</v>
      </c>
      <c r="C513" s="19" t="s">
        <v>899</v>
      </c>
      <c r="D513" s="19" t="s">
        <v>939</v>
      </c>
      <c r="E513" s="19" t="s">
        <v>1330</v>
      </c>
      <c r="F513" s="19">
        <v>0</v>
      </c>
      <c r="G513" s="43">
        <v>22.32</v>
      </c>
    </row>
    <row r="514" spans="1:7" x14ac:dyDescent="0.3">
      <c r="A514" s="19">
        <v>1598</v>
      </c>
      <c r="B514" s="19" t="s">
        <v>1411</v>
      </c>
      <c r="C514" s="19" t="s">
        <v>899</v>
      </c>
      <c r="D514" s="19" t="s">
        <v>939</v>
      </c>
      <c r="E514" s="19" t="s">
        <v>1330</v>
      </c>
      <c r="F514" s="19">
        <v>0</v>
      </c>
      <c r="G514" s="43">
        <v>5.2</v>
      </c>
    </row>
    <row r="515" spans="1:7" x14ac:dyDescent="0.3">
      <c r="A515" s="19">
        <v>2114</v>
      </c>
      <c r="B515" s="19" t="s">
        <v>1412</v>
      </c>
      <c r="C515" s="19" t="s">
        <v>899</v>
      </c>
      <c r="D515" s="19" t="s">
        <v>939</v>
      </c>
      <c r="E515" s="19" t="s">
        <v>1330</v>
      </c>
      <c r="F515" s="19">
        <v>0</v>
      </c>
      <c r="G515" s="43">
        <v>4.49</v>
      </c>
    </row>
    <row r="516" spans="1:7" x14ac:dyDescent="0.3">
      <c r="A516" s="19">
        <v>2187</v>
      </c>
      <c r="B516" s="19" t="s">
        <v>1413</v>
      </c>
      <c r="C516" s="19" t="s">
        <v>899</v>
      </c>
      <c r="D516" s="19" t="s">
        <v>1414</v>
      </c>
      <c r="E516" s="19" t="s">
        <v>1330</v>
      </c>
      <c r="F516" s="19">
        <v>0</v>
      </c>
      <c r="G516" s="43">
        <v>5.89</v>
      </c>
    </row>
    <row r="517" spans="1:7" x14ac:dyDescent="0.3">
      <c r="A517" s="19">
        <v>2161</v>
      </c>
      <c r="B517" s="19" t="s">
        <v>1415</v>
      </c>
      <c r="C517" s="19" t="s">
        <v>899</v>
      </c>
      <c r="D517" s="19" t="s">
        <v>1414</v>
      </c>
      <c r="E517" s="19" t="s">
        <v>1330</v>
      </c>
      <c r="F517" s="19">
        <v>0</v>
      </c>
      <c r="G517" s="43">
        <v>10.63</v>
      </c>
    </row>
    <row r="518" spans="1:7" x14ac:dyDescent="0.3">
      <c r="A518" s="19">
        <v>2120</v>
      </c>
      <c r="B518" s="19" t="s">
        <v>1416</v>
      </c>
      <c r="C518" s="19" t="s">
        <v>899</v>
      </c>
      <c r="D518" s="19" t="s">
        <v>1414</v>
      </c>
      <c r="E518" s="19" t="s">
        <v>1330</v>
      </c>
      <c r="F518" s="19">
        <v>0</v>
      </c>
      <c r="G518" s="43">
        <v>6.46</v>
      </c>
    </row>
    <row r="519" spans="1:7" x14ac:dyDescent="0.3">
      <c r="A519" s="19">
        <v>2128</v>
      </c>
      <c r="B519" s="19" t="s">
        <v>1417</v>
      </c>
      <c r="C519" s="19" t="s">
        <v>899</v>
      </c>
      <c r="D519" s="19" t="s">
        <v>1414</v>
      </c>
      <c r="E519" s="19" t="s">
        <v>1330</v>
      </c>
      <c r="F519" s="19">
        <v>0</v>
      </c>
      <c r="G519" s="43">
        <v>4.78</v>
      </c>
    </row>
    <row r="520" spans="1:7" x14ac:dyDescent="0.3">
      <c r="A520" s="19">
        <v>2115</v>
      </c>
      <c r="B520" s="19" t="s">
        <v>1418</v>
      </c>
      <c r="C520" s="19" t="s">
        <v>899</v>
      </c>
      <c r="D520" s="19" t="s">
        <v>1414</v>
      </c>
      <c r="E520" s="19" t="s">
        <v>1330</v>
      </c>
      <c r="F520" s="19">
        <v>0</v>
      </c>
      <c r="G520" s="43">
        <v>3.94</v>
      </c>
    </row>
    <row r="521" spans="1:7" x14ac:dyDescent="0.3">
      <c r="A521" s="19">
        <v>2162</v>
      </c>
      <c r="B521" s="19" t="s">
        <v>1419</v>
      </c>
      <c r="C521" s="19" t="s">
        <v>899</v>
      </c>
      <c r="D521" s="19" t="s">
        <v>1414</v>
      </c>
      <c r="E521" s="19" t="s">
        <v>1330</v>
      </c>
      <c r="F521" s="19">
        <v>0</v>
      </c>
      <c r="G521" s="43">
        <v>5.05</v>
      </c>
    </row>
    <row r="522" spans="1:7" x14ac:dyDescent="0.3">
      <c r="A522" s="19">
        <v>2117</v>
      </c>
      <c r="B522" s="19" t="s">
        <v>1420</v>
      </c>
      <c r="C522" s="19" t="s">
        <v>899</v>
      </c>
      <c r="D522" s="19" t="s">
        <v>1414</v>
      </c>
      <c r="E522" s="19" t="s">
        <v>1330</v>
      </c>
      <c r="F522" s="19">
        <v>0</v>
      </c>
      <c r="G522" s="43">
        <v>4.78</v>
      </c>
    </row>
    <row r="523" spans="1:7" x14ac:dyDescent="0.3">
      <c r="A523" s="19">
        <v>2118</v>
      </c>
      <c r="B523" s="19" t="s">
        <v>1421</v>
      </c>
      <c r="C523" s="19" t="s">
        <v>899</v>
      </c>
      <c r="D523" s="19" t="s">
        <v>1414</v>
      </c>
      <c r="E523" s="19" t="s">
        <v>1330</v>
      </c>
      <c r="F523" s="19">
        <v>0</v>
      </c>
      <c r="G523" s="43">
        <v>3.19</v>
      </c>
    </row>
    <row r="524" spans="1:7" x14ac:dyDescent="0.3">
      <c r="A524" s="19">
        <v>2237</v>
      </c>
      <c r="B524" s="19" t="s">
        <v>1422</v>
      </c>
      <c r="C524" s="19" t="s">
        <v>899</v>
      </c>
      <c r="D524" s="19" t="s">
        <v>1414</v>
      </c>
      <c r="E524" s="19" t="s">
        <v>1330</v>
      </c>
      <c r="F524" s="19">
        <v>0</v>
      </c>
      <c r="G524" s="43">
        <v>10.06</v>
      </c>
    </row>
    <row r="525" spans="1:7" x14ac:dyDescent="0.3">
      <c r="A525" s="19">
        <v>2041</v>
      </c>
      <c r="B525" s="19" t="s">
        <v>1423</v>
      </c>
      <c r="C525" s="19" t="s">
        <v>899</v>
      </c>
      <c r="D525" s="19" t="s">
        <v>1414</v>
      </c>
      <c r="E525" s="19" t="s">
        <v>1330</v>
      </c>
      <c r="F525" s="19">
        <v>0</v>
      </c>
      <c r="G525" s="43">
        <v>6.58</v>
      </c>
    </row>
    <row r="526" spans="1:7" x14ac:dyDescent="0.3">
      <c r="A526" s="19">
        <v>2116</v>
      </c>
      <c r="B526" s="19" t="s">
        <v>1424</v>
      </c>
      <c r="C526" s="19" t="s">
        <v>899</v>
      </c>
      <c r="D526" s="19" t="s">
        <v>1414</v>
      </c>
      <c r="E526" s="19" t="s">
        <v>1330</v>
      </c>
      <c r="F526" s="19">
        <v>0</v>
      </c>
      <c r="G526" s="43">
        <v>6.56</v>
      </c>
    </row>
    <row r="527" spans="1:7" x14ac:dyDescent="0.3">
      <c r="A527" s="19">
        <v>2201</v>
      </c>
      <c r="B527" s="19" t="s">
        <v>1425</v>
      </c>
      <c r="C527" s="19" t="s">
        <v>899</v>
      </c>
      <c r="D527" s="19" t="s">
        <v>939</v>
      </c>
      <c r="E527" s="19" t="s">
        <v>1330</v>
      </c>
      <c r="F527" s="19">
        <v>0</v>
      </c>
      <c r="G527" s="43">
        <v>4.97</v>
      </c>
    </row>
    <row r="528" spans="1:7" x14ac:dyDescent="0.3">
      <c r="A528" s="19">
        <v>3512</v>
      </c>
      <c r="B528" s="19" t="s">
        <v>1426</v>
      </c>
      <c r="C528" s="19" t="s">
        <v>899</v>
      </c>
      <c r="D528" s="19" t="s">
        <v>939</v>
      </c>
      <c r="E528" s="19" t="s">
        <v>1330</v>
      </c>
      <c r="F528" s="19">
        <v>0</v>
      </c>
      <c r="G528" s="43">
        <v>14.38</v>
      </c>
    </row>
    <row r="529" spans="1:7" x14ac:dyDescent="0.3">
      <c r="A529" s="19">
        <v>2138</v>
      </c>
      <c r="B529" s="19" t="s">
        <v>1427</v>
      </c>
      <c r="C529" s="19" t="s">
        <v>899</v>
      </c>
      <c r="D529" s="19" t="s">
        <v>939</v>
      </c>
      <c r="E529" s="19" t="s">
        <v>815</v>
      </c>
      <c r="F529" s="19">
        <v>0</v>
      </c>
      <c r="G529" s="43">
        <v>5.01</v>
      </c>
    </row>
    <row r="530" spans="1:7" x14ac:dyDescent="0.3">
      <c r="A530" s="19">
        <v>3832</v>
      </c>
      <c r="B530" s="19" t="s">
        <v>1428</v>
      </c>
      <c r="C530" s="19" t="s">
        <v>899</v>
      </c>
      <c r="D530" s="19" t="s">
        <v>939</v>
      </c>
      <c r="E530" s="19" t="s">
        <v>815</v>
      </c>
      <c r="F530" s="19">
        <v>0</v>
      </c>
      <c r="G530" s="43">
        <v>2.5</v>
      </c>
    </row>
    <row r="531" spans="1:7" x14ac:dyDescent="0.3">
      <c r="A531" s="19">
        <v>3992</v>
      </c>
      <c r="B531" s="19" t="s">
        <v>1429</v>
      </c>
      <c r="C531" s="19" t="s">
        <v>899</v>
      </c>
      <c r="D531" s="19" t="s">
        <v>939</v>
      </c>
      <c r="E531" s="19" t="s">
        <v>1330</v>
      </c>
      <c r="F531" s="19">
        <v>0</v>
      </c>
      <c r="G531" s="43">
        <v>9.76</v>
      </c>
    </row>
    <row r="532" spans="1:7" x14ac:dyDescent="0.3">
      <c r="A532" s="19">
        <v>3263</v>
      </c>
      <c r="B532" s="19" t="s">
        <v>1430</v>
      </c>
      <c r="C532" s="19" t="s">
        <v>899</v>
      </c>
      <c r="D532" s="19" t="s">
        <v>939</v>
      </c>
      <c r="E532" s="19" t="s">
        <v>815</v>
      </c>
      <c r="F532" s="19">
        <v>0</v>
      </c>
      <c r="G532" s="43">
        <v>1.92</v>
      </c>
    </row>
    <row r="533" spans="1:7" x14ac:dyDescent="0.3">
      <c r="A533" s="19">
        <v>3658</v>
      </c>
      <c r="B533" s="19" t="s">
        <v>1431</v>
      </c>
      <c r="C533" s="19" t="s">
        <v>899</v>
      </c>
      <c r="D533" s="19" t="s">
        <v>939</v>
      </c>
      <c r="E533" s="19" t="s">
        <v>815</v>
      </c>
      <c r="F533" s="19">
        <v>0</v>
      </c>
      <c r="G533" s="43">
        <v>5.03</v>
      </c>
    </row>
    <row r="534" spans="1:7" x14ac:dyDescent="0.3">
      <c r="A534" s="19">
        <v>3659</v>
      </c>
      <c r="B534" s="19" t="s">
        <v>1432</v>
      </c>
      <c r="C534" s="19" t="s">
        <v>899</v>
      </c>
      <c r="D534" s="19" t="s">
        <v>939</v>
      </c>
      <c r="E534" s="19" t="s">
        <v>815</v>
      </c>
      <c r="F534" s="19">
        <v>0</v>
      </c>
      <c r="G534" s="43">
        <v>4.41</v>
      </c>
    </row>
    <row r="535" spans="1:7" x14ac:dyDescent="0.3">
      <c r="A535" s="19">
        <v>3330</v>
      </c>
      <c r="B535" s="19" t="s">
        <v>1433</v>
      </c>
      <c r="C535" s="19" t="s">
        <v>899</v>
      </c>
      <c r="D535" s="19" t="s">
        <v>939</v>
      </c>
      <c r="E535" s="19" t="s">
        <v>815</v>
      </c>
      <c r="F535" s="19">
        <v>0</v>
      </c>
      <c r="G535" s="43">
        <v>4.51</v>
      </c>
    </row>
    <row r="536" spans="1:7" x14ac:dyDescent="0.3">
      <c r="A536" s="19">
        <v>3236</v>
      </c>
      <c r="B536" s="19" t="s">
        <v>1434</v>
      </c>
      <c r="C536" s="19" t="s">
        <v>899</v>
      </c>
      <c r="D536" s="19" t="s">
        <v>939</v>
      </c>
      <c r="E536" s="19" t="s">
        <v>815</v>
      </c>
      <c r="F536" s="19">
        <v>0</v>
      </c>
      <c r="G536" s="43">
        <v>4.8099999999999996</v>
      </c>
    </row>
    <row r="537" spans="1:7" x14ac:dyDescent="0.3">
      <c r="A537" s="19">
        <v>3514</v>
      </c>
      <c r="B537" s="19" t="s">
        <v>1435</v>
      </c>
      <c r="C537" s="19" t="s">
        <v>899</v>
      </c>
      <c r="D537" s="19" t="s">
        <v>939</v>
      </c>
      <c r="E537" s="19" t="s">
        <v>815</v>
      </c>
      <c r="F537" s="19">
        <v>0</v>
      </c>
      <c r="G537" s="43">
        <v>5.44</v>
      </c>
    </row>
    <row r="538" spans="1:7" x14ac:dyDescent="0.3">
      <c r="A538" s="19">
        <v>3290</v>
      </c>
      <c r="B538" s="19" t="s">
        <v>1436</v>
      </c>
      <c r="C538" s="19" t="s">
        <v>899</v>
      </c>
      <c r="D538" s="19" t="s">
        <v>939</v>
      </c>
      <c r="E538" s="19" t="s">
        <v>815</v>
      </c>
      <c r="F538" s="19">
        <v>0</v>
      </c>
      <c r="G538" s="43">
        <v>4.5999999999999996</v>
      </c>
    </row>
    <row r="539" spans="1:7" x14ac:dyDescent="0.3">
      <c r="A539" s="19">
        <v>3234</v>
      </c>
      <c r="B539" s="19" t="s">
        <v>1437</v>
      </c>
      <c r="C539" s="19" t="s">
        <v>899</v>
      </c>
      <c r="D539" s="19" t="s">
        <v>939</v>
      </c>
      <c r="E539" s="19" t="s">
        <v>815</v>
      </c>
      <c r="F539" s="19">
        <v>0</v>
      </c>
      <c r="G539" s="43">
        <v>4.5599999999999996</v>
      </c>
    </row>
    <row r="540" spans="1:7" x14ac:dyDescent="0.3">
      <c r="A540" s="19">
        <v>3264</v>
      </c>
      <c r="B540" s="19" t="s">
        <v>1438</v>
      </c>
      <c r="C540" s="19" t="s">
        <v>899</v>
      </c>
      <c r="D540" s="19" t="s">
        <v>939</v>
      </c>
      <c r="E540" s="19" t="s">
        <v>815</v>
      </c>
      <c r="F540" s="19">
        <v>0</v>
      </c>
      <c r="G540" s="43">
        <v>2.82</v>
      </c>
    </row>
    <row r="541" spans="1:7" x14ac:dyDescent="0.3">
      <c r="A541" s="19">
        <v>3661</v>
      </c>
      <c r="B541" s="19" t="s">
        <v>1439</v>
      </c>
      <c r="C541" s="19" t="s">
        <v>899</v>
      </c>
      <c r="D541" s="19" t="s">
        <v>939</v>
      </c>
      <c r="E541" s="19" t="s">
        <v>815</v>
      </c>
      <c r="F541" s="19">
        <v>0</v>
      </c>
      <c r="G541" s="43">
        <v>1.05</v>
      </c>
    </row>
    <row r="542" spans="1:7" x14ac:dyDescent="0.3">
      <c r="A542" s="19">
        <v>3662</v>
      </c>
      <c r="B542" s="19" t="s">
        <v>1440</v>
      </c>
      <c r="C542" s="19" t="s">
        <v>899</v>
      </c>
      <c r="D542" s="19" t="s">
        <v>939</v>
      </c>
      <c r="E542" s="19" t="s">
        <v>815</v>
      </c>
      <c r="F542" s="19">
        <v>0</v>
      </c>
      <c r="G542" s="43">
        <v>4.3499999999999996</v>
      </c>
    </row>
    <row r="543" spans="1:7" x14ac:dyDescent="0.3">
      <c r="A543" s="19">
        <v>3265</v>
      </c>
      <c r="B543" s="19" t="s">
        <v>1441</v>
      </c>
      <c r="C543" s="19" t="s">
        <v>899</v>
      </c>
      <c r="D543" s="19" t="s">
        <v>939</v>
      </c>
      <c r="E543" s="19" t="s">
        <v>815</v>
      </c>
      <c r="F543" s="19">
        <v>0</v>
      </c>
      <c r="G543" s="43">
        <v>2.77</v>
      </c>
    </row>
    <row r="544" spans="1:7" x14ac:dyDescent="0.3">
      <c r="A544" s="19">
        <v>3304</v>
      </c>
      <c r="B544" s="19" t="s">
        <v>1442</v>
      </c>
      <c r="C544" s="19" t="s">
        <v>899</v>
      </c>
      <c r="D544" s="19" t="s">
        <v>939</v>
      </c>
      <c r="E544" s="19" t="s">
        <v>815</v>
      </c>
      <c r="F544" s="19">
        <v>0</v>
      </c>
      <c r="G544" s="43">
        <v>1.0900000000000001</v>
      </c>
    </row>
    <row r="545" spans="1:7" x14ac:dyDescent="0.3">
      <c r="A545" s="19">
        <v>3288</v>
      </c>
      <c r="B545" s="19" t="s">
        <v>1443</v>
      </c>
      <c r="C545" s="19" t="s">
        <v>899</v>
      </c>
      <c r="D545" s="19" t="s">
        <v>939</v>
      </c>
      <c r="E545" s="19" t="s">
        <v>815</v>
      </c>
      <c r="F545" s="19">
        <v>0</v>
      </c>
      <c r="G545" s="43">
        <v>1.3</v>
      </c>
    </row>
    <row r="546" spans="1:7" x14ac:dyDescent="0.3">
      <c r="A546" s="19">
        <v>3289</v>
      </c>
      <c r="B546" s="19" t="s">
        <v>1444</v>
      </c>
      <c r="C546" s="19" t="s">
        <v>899</v>
      </c>
      <c r="D546" s="19" t="s">
        <v>939</v>
      </c>
      <c r="E546" s="19" t="s">
        <v>815</v>
      </c>
      <c r="F546" s="19">
        <v>0</v>
      </c>
      <c r="G546" s="43">
        <v>4.6399999999999997</v>
      </c>
    </row>
    <row r="547" spans="1:7" x14ac:dyDescent="0.3">
      <c r="A547" s="19">
        <v>3235</v>
      </c>
      <c r="B547" s="19" t="s">
        <v>1445</v>
      </c>
      <c r="C547" s="19" t="s">
        <v>899</v>
      </c>
      <c r="D547" s="19" t="s">
        <v>939</v>
      </c>
      <c r="E547" s="19" t="s">
        <v>815</v>
      </c>
      <c r="F547" s="19">
        <v>0</v>
      </c>
      <c r="G547" s="43">
        <v>3.04</v>
      </c>
    </row>
    <row r="548" spans="1:7" x14ac:dyDescent="0.3">
      <c r="A548" s="19">
        <v>3469</v>
      </c>
      <c r="B548" s="19" t="s">
        <v>1446</v>
      </c>
      <c r="C548" s="19" t="s">
        <v>899</v>
      </c>
      <c r="D548" s="19" t="s">
        <v>939</v>
      </c>
      <c r="E548" s="19" t="s">
        <v>815</v>
      </c>
      <c r="F548" s="19">
        <v>0</v>
      </c>
      <c r="G548" s="43">
        <v>1.08</v>
      </c>
    </row>
    <row r="549" spans="1:7" x14ac:dyDescent="0.3">
      <c r="A549" s="19">
        <v>3049</v>
      </c>
      <c r="B549" s="19" t="s">
        <v>1447</v>
      </c>
      <c r="C549" s="19" t="s">
        <v>899</v>
      </c>
      <c r="D549" s="19" t="s">
        <v>1341</v>
      </c>
      <c r="E549" s="19" t="s">
        <v>1330</v>
      </c>
      <c r="F549" s="19">
        <v>0</v>
      </c>
      <c r="G549" s="43">
        <v>3.8</v>
      </c>
    </row>
    <row r="550" spans="1:7" x14ac:dyDescent="0.3">
      <c r="A550" s="19">
        <v>584</v>
      </c>
      <c r="B550" s="19" t="s">
        <v>1448</v>
      </c>
      <c r="C550" s="19" t="s">
        <v>899</v>
      </c>
      <c r="D550" s="19" t="s">
        <v>1341</v>
      </c>
      <c r="E550" s="19" t="s">
        <v>1330</v>
      </c>
      <c r="F550" s="19">
        <v>0</v>
      </c>
      <c r="G550" s="43">
        <v>0.76</v>
      </c>
    </row>
    <row r="551" spans="1:7" x14ac:dyDescent="0.3">
      <c r="A551" s="19">
        <v>3052</v>
      </c>
      <c r="B551" s="19" t="s">
        <v>1449</v>
      </c>
      <c r="C551" s="19" t="s">
        <v>899</v>
      </c>
      <c r="D551" s="19" t="s">
        <v>1341</v>
      </c>
      <c r="E551" s="19" t="s">
        <v>1330</v>
      </c>
      <c r="F551" s="19">
        <v>0</v>
      </c>
      <c r="G551" s="43">
        <v>6.57</v>
      </c>
    </row>
    <row r="552" spans="1:7" x14ac:dyDescent="0.3">
      <c r="A552" s="19">
        <v>1213</v>
      </c>
      <c r="B552" s="19" t="s">
        <v>1450</v>
      </c>
      <c r="C552" s="19" t="s">
        <v>899</v>
      </c>
      <c r="D552" s="19" t="s">
        <v>1341</v>
      </c>
      <c r="E552" s="19" t="s">
        <v>1330</v>
      </c>
      <c r="F552" s="19">
        <v>0</v>
      </c>
      <c r="G552" s="43">
        <v>2.76</v>
      </c>
    </row>
    <row r="553" spans="1:7" x14ac:dyDescent="0.3">
      <c r="A553" s="19">
        <v>3369</v>
      </c>
      <c r="B553" s="19" t="s">
        <v>1451</v>
      </c>
      <c r="C553" s="19" t="s">
        <v>899</v>
      </c>
      <c r="D553" s="19" t="s">
        <v>939</v>
      </c>
      <c r="E553" s="19" t="s">
        <v>1330</v>
      </c>
      <c r="F553" s="19">
        <v>0</v>
      </c>
      <c r="G553" s="43">
        <v>4.4800000000000004</v>
      </c>
    </row>
    <row r="554" spans="1:7" x14ac:dyDescent="0.3">
      <c r="A554" s="19">
        <v>3421</v>
      </c>
      <c r="B554" s="19" t="s">
        <v>1452</v>
      </c>
      <c r="C554" s="19" t="s">
        <v>899</v>
      </c>
      <c r="D554" s="19" t="s">
        <v>939</v>
      </c>
      <c r="E554" s="19" t="s">
        <v>1330</v>
      </c>
      <c r="F554" s="19">
        <v>0</v>
      </c>
      <c r="G554" s="43">
        <v>9.94</v>
      </c>
    </row>
    <row r="555" spans="1:7" x14ac:dyDescent="0.3">
      <c r="A555" s="19">
        <v>2244</v>
      </c>
      <c r="B555" s="19" t="s">
        <v>1453</v>
      </c>
      <c r="C555" s="19" t="s">
        <v>899</v>
      </c>
      <c r="D555" s="19" t="s">
        <v>939</v>
      </c>
      <c r="E555" s="19" t="s">
        <v>1330</v>
      </c>
      <c r="F555" s="19">
        <v>0</v>
      </c>
      <c r="G555" s="43">
        <v>2.06</v>
      </c>
    </row>
    <row r="556" spans="1:7" x14ac:dyDescent="0.3">
      <c r="A556" s="19">
        <v>3425</v>
      </c>
      <c r="B556" s="19" t="s">
        <v>1454</v>
      </c>
      <c r="C556" s="19" t="s">
        <v>899</v>
      </c>
      <c r="D556" s="19" t="s">
        <v>939</v>
      </c>
      <c r="E556" s="19" t="s">
        <v>1330</v>
      </c>
      <c r="F556" s="19">
        <v>0</v>
      </c>
      <c r="G556" s="43">
        <v>6.1</v>
      </c>
    </row>
    <row r="557" spans="1:7" x14ac:dyDescent="0.3">
      <c r="A557" s="19">
        <v>3426</v>
      </c>
      <c r="B557" s="19" t="s">
        <v>1455</v>
      </c>
      <c r="C557" s="19" t="s">
        <v>899</v>
      </c>
      <c r="D557" s="19" t="s">
        <v>939</v>
      </c>
      <c r="E557" s="19" t="s">
        <v>1330</v>
      </c>
      <c r="F557" s="19">
        <v>0</v>
      </c>
      <c r="G557" s="43">
        <v>4.09</v>
      </c>
    </row>
    <row r="558" spans="1:7" x14ac:dyDescent="0.3">
      <c r="A558" s="19">
        <v>3424</v>
      </c>
      <c r="B558" s="19" t="s">
        <v>1456</v>
      </c>
      <c r="C558" s="19" t="s">
        <v>899</v>
      </c>
      <c r="D558" s="19" t="s">
        <v>939</v>
      </c>
      <c r="E558" s="19" t="s">
        <v>1330</v>
      </c>
      <c r="F558" s="19">
        <v>0</v>
      </c>
      <c r="G558" s="43">
        <v>8.15</v>
      </c>
    </row>
    <row r="559" spans="1:7" x14ac:dyDescent="0.3">
      <c r="A559" s="19">
        <v>2255</v>
      </c>
      <c r="B559" s="19" t="s">
        <v>1457</v>
      </c>
      <c r="C559" s="19" t="s">
        <v>899</v>
      </c>
      <c r="D559" s="19" t="s">
        <v>939</v>
      </c>
      <c r="E559" s="19" t="s">
        <v>1330</v>
      </c>
      <c r="F559" s="19">
        <v>0</v>
      </c>
      <c r="G559" s="43">
        <v>1.69</v>
      </c>
    </row>
    <row r="560" spans="1:7" x14ac:dyDescent="0.3">
      <c r="A560" s="19">
        <v>2258</v>
      </c>
      <c r="B560" s="19" t="s">
        <v>1458</v>
      </c>
      <c r="C560" s="19" t="s">
        <v>899</v>
      </c>
      <c r="D560" s="19" t="s">
        <v>939</v>
      </c>
      <c r="E560" s="19" t="s">
        <v>1330</v>
      </c>
      <c r="F560" s="19">
        <v>0</v>
      </c>
      <c r="G560" s="43">
        <v>4.01</v>
      </c>
    </row>
    <row r="561" spans="1:7" x14ac:dyDescent="0.3">
      <c r="A561" s="19">
        <v>3423</v>
      </c>
      <c r="B561" s="19" t="s">
        <v>1459</v>
      </c>
      <c r="C561" s="19" t="s">
        <v>899</v>
      </c>
      <c r="D561" s="19" t="s">
        <v>939</v>
      </c>
      <c r="E561" s="19" t="s">
        <v>1330</v>
      </c>
      <c r="F561" s="19">
        <v>0</v>
      </c>
      <c r="G561" s="43">
        <v>8.1</v>
      </c>
    </row>
    <row r="562" spans="1:7" x14ac:dyDescent="0.3">
      <c r="A562" s="19">
        <v>3056</v>
      </c>
      <c r="B562" s="19" t="s">
        <v>1460</v>
      </c>
      <c r="C562" s="19" t="s">
        <v>899</v>
      </c>
      <c r="D562" s="19" t="s">
        <v>1341</v>
      </c>
      <c r="E562" s="19" t="s">
        <v>1330</v>
      </c>
      <c r="F562" s="19">
        <v>0</v>
      </c>
      <c r="G562" s="43">
        <v>5.32</v>
      </c>
    </row>
    <row r="563" spans="1:7" x14ac:dyDescent="0.3">
      <c r="A563" s="19">
        <v>1214</v>
      </c>
      <c r="B563" s="19" t="s">
        <v>1461</v>
      </c>
      <c r="C563" s="19" t="s">
        <v>899</v>
      </c>
      <c r="D563" s="19" t="s">
        <v>1341</v>
      </c>
      <c r="E563" s="19" t="s">
        <v>1330</v>
      </c>
      <c r="F563" s="19">
        <v>0</v>
      </c>
      <c r="G563" s="43">
        <v>3.38</v>
      </c>
    </row>
    <row r="564" spans="1:7" x14ac:dyDescent="0.3">
      <c r="A564" s="19">
        <v>3055</v>
      </c>
      <c r="B564" s="19" t="s">
        <v>1462</v>
      </c>
      <c r="C564" s="19" t="s">
        <v>899</v>
      </c>
      <c r="D564" s="19" t="s">
        <v>1341</v>
      </c>
      <c r="E564" s="19" t="s">
        <v>1330</v>
      </c>
      <c r="F564" s="19">
        <v>0</v>
      </c>
      <c r="G564" s="43">
        <v>16.91</v>
      </c>
    </row>
    <row r="565" spans="1:7" x14ac:dyDescent="0.3">
      <c r="A565" s="19">
        <v>3509</v>
      </c>
      <c r="B565" s="19" t="s">
        <v>1463</v>
      </c>
      <c r="C565" s="19" t="s">
        <v>899</v>
      </c>
      <c r="D565" s="19" t="s">
        <v>1341</v>
      </c>
      <c r="E565" s="19" t="s">
        <v>815</v>
      </c>
      <c r="F565" s="19">
        <v>0</v>
      </c>
      <c r="G565" s="43">
        <v>4.6100000000000003</v>
      </c>
    </row>
    <row r="566" spans="1:7" x14ac:dyDescent="0.3">
      <c r="A566" s="19">
        <v>3053</v>
      </c>
      <c r="B566" s="19" t="s">
        <v>1464</v>
      </c>
      <c r="C566" s="19" t="s">
        <v>899</v>
      </c>
      <c r="D566" s="19" t="s">
        <v>1341</v>
      </c>
      <c r="E566" s="19" t="s">
        <v>1330</v>
      </c>
      <c r="F566" s="19">
        <v>0</v>
      </c>
      <c r="G566" s="43">
        <v>53.16</v>
      </c>
    </row>
    <row r="567" spans="1:7" x14ac:dyDescent="0.3">
      <c r="A567" s="19">
        <v>585</v>
      </c>
      <c r="B567" s="19" t="s">
        <v>1465</v>
      </c>
      <c r="C567" s="19" t="s">
        <v>899</v>
      </c>
      <c r="D567" s="19" t="s">
        <v>1341</v>
      </c>
      <c r="E567" s="19" t="s">
        <v>1330</v>
      </c>
      <c r="F567" s="19">
        <v>0</v>
      </c>
      <c r="G567" s="43">
        <v>10.65</v>
      </c>
    </row>
    <row r="568" spans="1:7" x14ac:dyDescent="0.3">
      <c r="A568" s="19">
        <v>3054</v>
      </c>
      <c r="B568" s="19" t="s">
        <v>1466</v>
      </c>
      <c r="C568" s="19" t="s">
        <v>899</v>
      </c>
      <c r="D568" s="19" t="s">
        <v>1341</v>
      </c>
      <c r="E568" s="19" t="s">
        <v>1330</v>
      </c>
      <c r="F568" s="19">
        <v>0</v>
      </c>
      <c r="G568" s="43">
        <v>29.64</v>
      </c>
    </row>
    <row r="569" spans="1:7" x14ac:dyDescent="0.3">
      <c r="A569" s="19">
        <v>586</v>
      </c>
      <c r="B569" s="19" t="s">
        <v>1467</v>
      </c>
      <c r="C569" s="19" t="s">
        <v>899</v>
      </c>
      <c r="D569" s="19" t="s">
        <v>1341</v>
      </c>
      <c r="E569" s="19" t="s">
        <v>1330</v>
      </c>
      <c r="F569" s="19">
        <v>0</v>
      </c>
      <c r="G569" s="43">
        <v>5.93</v>
      </c>
    </row>
    <row r="570" spans="1:7" x14ac:dyDescent="0.3">
      <c r="A570" s="19">
        <v>3948</v>
      </c>
      <c r="B570" s="19" t="s">
        <v>1468</v>
      </c>
      <c r="C570" s="19" t="s">
        <v>899</v>
      </c>
      <c r="D570" s="19" t="s">
        <v>939</v>
      </c>
      <c r="E570" s="19" t="s">
        <v>815</v>
      </c>
      <c r="F570" s="19">
        <v>0</v>
      </c>
      <c r="G570" s="43">
        <v>8.85</v>
      </c>
    </row>
    <row r="571" spans="1:7" x14ac:dyDescent="0.3">
      <c r="A571" s="19">
        <v>3260</v>
      </c>
      <c r="B571" s="19" t="s">
        <v>1469</v>
      </c>
      <c r="C571" s="19" t="s">
        <v>899</v>
      </c>
      <c r="D571" s="19" t="s">
        <v>939</v>
      </c>
      <c r="E571" s="19" t="s">
        <v>815</v>
      </c>
      <c r="F571" s="19">
        <v>0</v>
      </c>
      <c r="G571" s="43">
        <v>7.75</v>
      </c>
    </row>
    <row r="572" spans="1:7" x14ac:dyDescent="0.3">
      <c r="A572" s="19">
        <v>3945</v>
      </c>
      <c r="B572" s="19" t="s">
        <v>1470</v>
      </c>
      <c r="C572" s="19" t="s">
        <v>899</v>
      </c>
      <c r="D572" s="19" t="s">
        <v>939</v>
      </c>
      <c r="E572" s="19" t="s">
        <v>815</v>
      </c>
      <c r="F572" s="19">
        <v>0</v>
      </c>
      <c r="G572" s="43">
        <v>9.08</v>
      </c>
    </row>
    <row r="573" spans="1:7" x14ac:dyDescent="0.3">
      <c r="A573" s="19">
        <v>3947</v>
      </c>
      <c r="B573" s="19" t="s">
        <v>1471</v>
      </c>
      <c r="C573" s="19" t="s">
        <v>899</v>
      </c>
      <c r="D573" s="19" t="s">
        <v>939</v>
      </c>
      <c r="E573" s="19" t="s">
        <v>815</v>
      </c>
      <c r="F573" s="19">
        <v>0</v>
      </c>
      <c r="G573" s="43">
        <v>8.84</v>
      </c>
    </row>
    <row r="574" spans="1:7" x14ac:dyDescent="0.3">
      <c r="A574" s="19">
        <v>3946</v>
      </c>
      <c r="B574" s="19" t="s">
        <v>1472</v>
      </c>
      <c r="C574" s="19" t="s">
        <v>899</v>
      </c>
      <c r="D574" s="19" t="s">
        <v>939</v>
      </c>
      <c r="E574" s="19" t="s">
        <v>815</v>
      </c>
      <c r="F574" s="19">
        <v>0</v>
      </c>
      <c r="G574" s="43">
        <v>7.93</v>
      </c>
    </row>
    <row r="575" spans="1:7" x14ac:dyDescent="0.3">
      <c r="A575" s="19">
        <v>3944</v>
      </c>
      <c r="B575" s="19" t="s">
        <v>1473</v>
      </c>
      <c r="C575" s="19" t="s">
        <v>899</v>
      </c>
      <c r="D575" s="19" t="s">
        <v>939</v>
      </c>
      <c r="E575" s="19" t="s">
        <v>815</v>
      </c>
      <c r="F575" s="19">
        <v>0</v>
      </c>
      <c r="G575" s="43">
        <v>10.96</v>
      </c>
    </row>
    <row r="576" spans="1:7" x14ac:dyDescent="0.3">
      <c r="A576" s="19">
        <v>3949</v>
      </c>
      <c r="B576" s="19" t="s">
        <v>1474</v>
      </c>
      <c r="C576" s="19" t="s">
        <v>899</v>
      </c>
      <c r="D576" s="19" t="s">
        <v>939</v>
      </c>
      <c r="E576" s="19" t="s">
        <v>815</v>
      </c>
      <c r="F576" s="19">
        <v>0</v>
      </c>
      <c r="G576" s="43">
        <v>13.8</v>
      </c>
    </row>
    <row r="577" spans="1:7" x14ac:dyDescent="0.3">
      <c r="A577" s="19">
        <v>2110</v>
      </c>
      <c r="B577" s="19" t="s">
        <v>1475</v>
      </c>
      <c r="C577" s="19" t="s">
        <v>899</v>
      </c>
      <c r="D577" s="19" t="s">
        <v>939</v>
      </c>
      <c r="E577" s="19" t="s">
        <v>1330</v>
      </c>
      <c r="F577" s="19">
        <v>0</v>
      </c>
      <c r="G577" s="43">
        <v>5.14</v>
      </c>
    </row>
    <row r="578" spans="1:7" x14ac:dyDescent="0.3">
      <c r="A578" s="19">
        <v>2263</v>
      </c>
      <c r="B578" s="19" t="s">
        <v>1476</v>
      </c>
      <c r="C578" s="19" t="s">
        <v>899</v>
      </c>
      <c r="D578" s="19" t="s">
        <v>1414</v>
      </c>
      <c r="E578" s="19" t="s">
        <v>815</v>
      </c>
      <c r="F578" s="19">
        <v>0</v>
      </c>
      <c r="G578" s="43">
        <v>5.65</v>
      </c>
    </row>
    <row r="579" spans="1:7" x14ac:dyDescent="0.3">
      <c r="A579" s="19">
        <v>2264</v>
      </c>
      <c r="B579" s="19" t="s">
        <v>1477</v>
      </c>
      <c r="C579" s="19" t="s">
        <v>899</v>
      </c>
      <c r="D579" s="19" t="s">
        <v>1414</v>
      </c>
      <c r="E579" s="19" t="s">
        <v>1330</v>
      </c>
      <c r="F579" s="19">
        <v>0</v>
      </c>
      <c r="G579" s="43">
        <v>22.68</v>
      </c>
    </row>
    <row r="580" spans="1:7" x14ac:dyDescent="0.3">
      <c r="A580" s="19">
        <v>2266</v>
      </c>
      <c r="B580" s="19" t="s">
        <v>1478</v>
      </c>
      <c r="C580" s="19" t="s">
        <v>899</v>
      </c>
      <c r="D580" s="19" t="s">
        <v>1414</v>
      </c>
      <c r="E580" s="19" t="s">
        <v>815</v>
      </c>
      <c r="F580" s="19">
        <v>0</v>
      </c>
      <c r="G580" s="43">
        <v>2.73</v>
      </c>
    </row>
    <row r="581" spans="1:7" x14ac:dyDescent="0.3">
      <c r="A581" s="19">
        <v>2272</v>
      </c>
      <c r="B581" s="19" t="s">
        <v>1479</v>
      </c>
      <c r="C581" s="19" t="s">
        <v>899</v>
      </c>
      <c r="D581" s="19" t="s">
        <v>1414</v>
      </c>
      <c r="E581" s="19" t="s">
        <v>815</v>
      </c>
      <c r="F581" s="19">
        <v>0</v>
      </c>
      <c r="G581" s="43">
        <v>10.15</v>
      </c>
    </row>
    <row r="582" spans="1:7" x14ac:dyDescent="0.3">
      <c r="A582" s="19">
        <v>2275</v>
      </c>
      <c r="B582" s="19" t="s">
        <v>1480</v>
      </c>
      <c r="C582" s="19" t="s">
        <v>899</v>
      </c>
      <c r="D582" s="19" t="s">
        <v>1414</v>
      </c>
      <c r="E582" s="19" t="s">
        <v>932</v>
      </c>
      <c r="F582" s="19">
        <v>0</v>
      </c>
      <c r="G582" s="43">
        <v>2.7</v>
      </c>
    </row>
    <row r="583" spans="1:7" x14ac:dyDescent="0.3">
      <c r="A583" s="19">
        <v>2279</v>
      </c>
      <c r="B583" s="19" t="s">
        <v>1481</v>
      </c>
      <c r="C583" s="19" t="s">
        <v>899</v>
      </c>
      <c r="D583" s="19" t="s">
        <v>1414</v>
      </c>
      <c r="E583" s="19" t="s">
        <v>815</v>
      </c>
      <c r="F583" s="19">
        <v>0</v>
      </c>
      <c r="G583" s="43">
        <v>2.4300000000000002</v>
      </c>
    </row>
    <row r="584" spans="1:7" x14ac:dyDescent="0.3">
      <c r="A584" s="19">
        <v>2268</v>
      </c>
      <c r="B584" s="19" t="s">
        <v>1482</v>
      </c>
      <c r="C584" s="19" t="s">
        <v>899</v>
      </c>
      <c r="D584" s="19" t="s">
        <v>1414</v>
      </c>
      <c r="E584" s="19" t="s">
        <v>932</v>
      </c>
      <c r="F584" s="19">
        <v>0</v>
      </c>
      <c r="G584" s="43">
        <v>0.66</v>
      </c>
    </row>
    <row r="585" spans="1:7" x14ac:dyDescent="0.3">
      <c r="A585" s="19">
        <v>2282</v>
      </c>
      <c r="B585" s="19" t="s">
        <v>1483</v>
      </c>
      <c r="C585" s="19" t="s">
        <v>899</v>
      </c>
      <c r="D585" s="19" t="s">
        <v>1414</v>
      </c>
      <c r="E585" s="19" t="s">
        <v>815</v>
      </c>
      <c r="F585" s="19">
        <v>0</v>
      </c>
      <c r="G585" s="43">
        <v>3.55</v>
      </c>
    </row>
    <row r="586" spans="1:7" x14ac:dyDescent="0.3">
      <c r="A586" s="19">
        <v>2287</v>
      </c>
      <c r="B586" s="19" t="s">
        <v>1484</v>
      </c>
      <c r="C586" s="19" t="s">
        <v>899</v>
      </c>
      <c r="D586" s="19" t="s">
        <v>1414</v>
      </c>
      <c r="E586" s="19" t="s">
        <v>815</v>
      </c>
      <c r="F586" s="19">
        <v>0</v>
      </c>
      <c r="G586" s="43">
        <v>9.8000000000000007</v>
      </c>
    </row>
    <row r="587" spans="1:7" x14ac:dyDescent="0.3">
      <c r="A587" s="19">
        <v>2290</v>
      </c>
      <c r="B587" s="19" t="s">
        <v>1485</v>
      </c>
      <c r="C587" s="19" t="s">
        <v>899</v>
      </c>
      <c r="D587" s="19" t="s">
        <v>1414</v>
      </c>
      <c r="E587" s="19" t="s">
        <v>1330</v>
      </c>
      <c r="F587" s="19">
        <v>0</v>
      </c>
      <c r="G587" s="43">
        <v>4.07</v>
      </c>
    </row>
    <row r="588" spans="1:7" x14ac:dyDescent="0.3">
      <c r="A588" s="19">
        <v>2154</v>
      </c>
      <c r="B588" s="19" t="s">
        <v>1486</v>
      </c>
      <c r="C588" s="19" t="s">
        <v>899</v>
      </c>
      <c r="D588" s="19" t="s">
        <v>939</v>
      </c>
      <c r="E588" s="19" t="s">
        <v>815</v>
      </c>
      <c r="F588" s="19">
        <v>0</v>
      </c>
      <c r="G588" s="43">
        <v>13.98</v>
      </c>
    </row>
    <row r="589" spans="1:7" x14ac:dyDescent="0.3">
      <c r="A589" s="19">
        <v>2890</v>
      </c>
      <c r="B589" s="19" t="s">
        <v>1487</v>
      </c>
      <c r="C589" s="19" t="s">
        <v>899</v>
      </c>
      <c r="D589" s="19" t="s">
        <v>939</v>
      </c>
      <c r="E589" s="19" t="s">
        <v>1330</v>
      </c>
      <c r="F589" s="19">
        <v>0</v>
      </c>
      <c r="G589" s="43">
        <v>6.02</v>
      </c>
    </row>
    <row r="590" spans="1:7" x14ac:dyDescent="0.3">
      <c r="A590" s="19">
        <v>3754</v>
      </c>
      <c r="B590" s="19" t="s">
        <v>1488</v>
      </c>
      <c r="C590" s="19" t="s">
        <v>899</v>
      </c>
      <c r="D590" s="19" t="s">
        <v>939</v>
      </c>
      <c r="E590" s="19" t="s">
        <v>815</v>
      </c>
      <c r="F590" s="19">
        <v>0</v>
      </c>
      <c r="G590" s="43">
        <v>3.49</v>
      </c>
    </row>
    <row r="591" spans="1:7" x14ac:dyDescent="0.3">
      <c r="A591" s="19">
        <v>3435</v>
      </c>
      <c r="B591" s="19" t="s">
        <v>1489</v>
      </c>
      <c r="C591" s="19" t="s">
        <v>899</v>
      </c>
      <c r="D591" s="19" t="s">
        <v>939</v>
      </c>
      <c r="E591" s="19" t="s">
        <v>1330</v>
      </c>
      <c r="F591" s="19">
        <v>0</v>
      </c>
      <c r="G591" s="43">
        <v>1.49</v>
      </c>
    </row>
    <row r="592" spans="1:7" x14ac:dyDescent="0.3">
      <c r="A592" s="19">
        <v>3755</v>
      </c>
      <c r="B592" s="19" t="s">
        <v>1490</v>
      </c>
      <c r="C592" s="19" t="s">
        <v>899</v>
      </c>
      <c r="D592" s="19" t="s">
        <v>939</v>
      </c>
      <c r="E592" s="19" t="s">
        <v>1330</v>
      </c>
      <c r="F592" s="19">
        <v>0</v>
      </c>
      <c r="G592" s="43">
        <v>0.75</v>
      </c>
    </row>
    <row r="593" spans="1:7" x14ac:dyDescent="0.3">
      <c r="A593" s="19">
        <v>3404</v>
      </c>
      <c r="B593" s="19" t="s">
        <v>1491</v>
      </c>
      <c r="C593" s="19" t="s">
        <v>899</v>
      </c>
      <c r="D593" s="19" t="s">
        <v>939</v>
      </c>
      <c r="E593" s="19" t="s">
        <v>1330</v>
      </c>
      <c r="F593" s="19">
        <v>0</v>
      </c>
      <c r="G593" s="43">
        <v>5.75</v>
      </c>
    </row>
    <row r="594" spans="1:7" x14ac:dyDescent="0.3">
      <c r="A594" s="19">
        <v>3405</v>
      </c>
      <c r="B594" s="19" t="s">
        <v>1492</v>
      </c>
      <c r="C594" s="19" t="s">
        <v>899</v>
      </c>
      <c r="D594" s="19" t="s">
        <v>939</v>
      </c>
      <c r="E594" s="19" t="s">
        <v>1330</v>
      </c>
      <c r="F594" s="19">
        <v>0</v>
      </c>
      <c r="G594" s="43">
        <v>2.88</v>
      </c>
    </row>
    <row r="595" spans="1:7" x14ac:dyDescent="0.3">
      <c r="A595" s="19">
        <v>2140</v>
      </c>
      <c r="B595" s="19" t="s">
        <v>1493</v>
      </c>
      <c r="C595" s="19" t="s">
        <v>899</v>
      </c>
      <c r="D595" s="19" t="s">
        <v>939</v>
      </c>
      <c r="E595" s="19" t="s">
        <v>815</v>
      </c>
      <c r="F595" s="19">
        <v>0</v>
      </c>
      <c r="G595" s="43">
        <v>5.83</v>
      </c>
    </row>
    <row r="596" spans="1:7" x14ac:dyDescent="0.3">
      <c r="A596" s="19">
        <v>3120</v>
      </c>
      <c r="B596" s="19" t="s">
        <v>1494</v>
      </c>
      <c r="C596" s="19" t="s">
        <v>899</v>
      </c>
      <c r="D596" s="19" t="s">
        <v>939</v>
      </c>
      <c r="E596" s="19" t="s">
        <v>1330</v>
      </c>
      <c r="F596" s="19">
        <v>0</v>
      </c>
      <c r="G596" s="43">
        <v>5.4</v>
      </c>
    </row>
    <row r="597" spans="1:7" x14ac:dyDescent="0.3">
      <c r="A597" s="19">
        <v>2047</v>
      </c>
      <c r="B597" s="19" t="s">
        <v>1495</v>
      </c>
      <c r="C597" s="19" t="s">
        <v>899</v>
      </c>
      <c r="D597" s="19" t="s">
        <v>1414</v>
      </c>
      <c r="E597" s="19" t="s">
        <v>932</v>
      </c>
      <c r="F597" s="19">
        <v>0</v>
      </c>
      <c r="G597" s="43">
        <v>4.96</v>
      </c>
    </row>
    <row r="598" spans="1:7" x14ac:dyDescent="0.3">
      <c r="A598" s="19">
        <v>2048</v>
      </c>
      <c r="B598" s="19" t="s">
        <v>1496</v>
      </c>
      <c r="C598" s="19" t="s">
        <v>899</v>
      </c>
      <c r="D598" s="19" t="s">
        <v>1414</v>
      </c>
      <c r="E598" s="19" t="s">
        <v>932</v>
      </c>
      <c r="F598" s="19">
        <v>0</v>
      </c>
      <c r="G598" s="43">
        <v>2.1</v>
      </c>
    </row>
    <row r="599" spans="1:7" x14ac:dyDescent="0.3">
      <c r="A599" s="19">
        <v>2049</v>
      </c>
      <c r="B599" s="19" t="s">
        <v>1497</v>
      </c>
      <c r="C599" s="19" t="s">
        <v>899</v>
      </c>
      <c r="D599" s="19" t="s">
        <v>1414</v>
      </c>
      <c r="E599" s="19" t="s">
        <v>932</v>
      </c>
      <c r="F599" s="19">
        <v>0</v>
      </c>
      <c r="G599" s="43">
        <v>1.94</v>
      </c>
    </row>
    <row r="600" spans="1:7" x14ac:dyDescent="0.3">
      <c r="A600" s="19">
        <v>2050</v>
      </c>
      <c r="B600" s="19" t="s">
        <v>1498</v>
      </c>
      <c r="C600" s="19" t="s">
        <v>899</v>
      </c>
      <c r="D600" s="19" t="s">
        <v>1414</v>
      </c>
      <c r="E600" s="19" t="s">
        <v>932</v>
      </c>
      <c r="F600" s="19">
        <v>0</v>
      </c>
      <c r="G600" s="43">
        <v>2.21</v>
      </c>
    </row>
    <row r="601" spans="1:7" x14ac:dyDescent="0.3">
      <c r="A601" s="19">
        <v>2051</v>
      </c>
      <c r="B601" s="19" t="s">
        <v>1499</v>
      </c>
      <c r="C601" s="19" t="s">
        <v>899</v>
      </c>
      <c r="D601" s="19" t="s">
        <v>1414</v>
      </c>
      <c r="E601" s="19" t="s">
        <v>932</v>
      </c>
      <c r="F601" s="19">
        <v>0</v>
      </c>
      <c r="G601" s="43">
        <v>1.05</v>
      </c>
    </row>
    <row r="602" spans="1:7" x14ac:dyDescent="0.3">
      <c r="A602" s="19">
        <v>2052</v>
      </c>
      <c r="B602" s="19" t="s">
        <v>1500</v>
      </c>
      <c r="C602" s="19" t="s">
        <v>899</v>
      </c>
      <c r="D602" s="19" t="s">
        <v>1414</v>
      </c>
      <c r="E602" s="19" t="s">
        <v>932</v>
      </c>
      <c r="F602" s="19">
        <v>0</v>
      </c>
      <c r="G602" s="43">
        <v>10.07</v>
      </c>
    </row>
    <row r="603" spans="1:7" x14ac:dyDescent="0.3">
      <c r="A603" s="19">
        <v>2053</v>
      </c>
      <c r="B603" s="19" t="s">
        <v>1501</v>
      </c>
      <c r="C603" s="19" t="s">
        <v>899</v>
      </c>
      <c r="D603" s="19" t="s">
        <v>1414</v>
      </c>
      <c r="E603" s="19" t="s">
        <v>932</v>
      </c>
      <c r="F603" s="19">
        <v>0</v>
      </c>
      <c r="G603" s="43">
        <v>3.41</v>
      </c>
    </row>
    <row r="604" spans="1:7" x14ac:dyDescent="0.3">
      <c r="A604" s="19">
        <v>2135</v>
      </c>
      <c r="B604" s="19" t="s">
        <v>1502</v>
      </c>
      <c r="C604" s="19" t="s">
        <v>899</v>
      </c>
      <c r="D604" s="19" t="s">
        <v>1414</v>
      </c>
      <c r="E604" s="19" t="s">
        <v>1330</v>
      </c>
      <c r="F604" s="19">
        <v>0</v>
      </c>
      <c r="G604" s="43">
        <v>4.3</v>
      </c>
    </row>
    <row r="605" spans="1:7" x14ac:dyDescent="0.3">
      <c r="A605" s="19">
        <v>2891</v>
      </c>
      <c r="B605" s="19" t="s">
        <v>1503</v>
      </c>
      <c r="C605" s="19" t="s">
        <v>899</v>
      </c>
      <c r="D605" s="19" t="s">
        <v>939</v>
      </c>
      <c r="E605" s="19" t="s">
        <v>1330</v>
      </c>
      <c r="F605" s="19">
        <v>0</v>
      </c>
      <c r="G605" s="43">
        <v>6.57</v>
      </c>
    </row>
    <row r="606" spans="1:7" x14ac:dyDescent="0.3">
      <c r="A606" s="19">
        <v>3415</v>
      </c>
      <c r="B606" s="19" t="s">
        <v>1504</v>
      </c>
      <c r="C606" s="19" t="s">
        <v>899</v>
      </c>
      <c r="D606" s="19" t="s">
        <v>939</v>
      </c>
      <c r="E606" s="19" t="s">
        <v>815</v>
      </c>
      <c r="F606" s="19">
        <v>0</v>
      </c>
      <c r="G606" s="43">
        <v>3.91</v>
      </c>
    </row>
    <row r="607" spans="1:7" x14ac:dyDescent="0.3">
      <c r="A607" s="19">
        <v>2953</v>
      </c>
      <c r="B607" s="19" t="s">
        <v>1505</v>
      </c>
      <c r="C607" s="19" t="s">
        <v>899</v>
      </c>
      <c r="D607" s="19" t="s">
        <v>939</v>
      </c>
      <c r="E607" s="19" t="s">
        <v>1330</v>
      </c>
      <c r="F607" s="19">
        <v>0</v>
      </c>
      <c r="G607" s="43">
        <v>4.7699999999999996</v>
      </c>
    </row>
    <row r="608" spans="1:7" x14ac:dyDescent="0.3">
      <c r="A608" s="19">
        <v>3656</v>
      </c>
      <c r="B608" s="19" t="s">
        <v>1506</v>
      </c>
      <c r="C608" s="19" t="s">
        <v>899</v>
      </c>
      <c r="D608" s="19" t="s">
        <v>939</v>
      </c>
      <c r="E608" s="19" t="s">
        <v>815</v>
      </c>
      <c r="F608" s="19">
        <v>0</v>
      </c>
      <c r="G608" s="43">
        <v>3.32</v>
      </c>
    </row>
    <row r="609" spans="1:7" x14ac:dyDescent="0.3">
      <c r="A609" s="19">
        <v>3278</v>
      </c>
      <c r="B609" s="19" t="s">
        <v>1507</v>
      </c>
      <c r="C609" s="19" t="s">
        <v>899</v>
      </c>
      <c r="D609" s="19" t="s">
        <v>939</v>
      </c>
      <c r="E609" s="19" t="s">
        <v>815</v>
      </c>
      <c r="F609" s="19">
        <v>0</v>
      </c>
      <c r="G609" s="43">
        <v>4.33</v>
      </c>
    </row>
    <row r="610" spans="1:7" x14ac:dyDescent="0.3">
      <c r="A610" s="19">
        <v>3631</v>
      </c>
      <c r="B610" s="19" t="s">
        <v>1508</v>
      </c>
      <c r="C610" s="19" t="s">
        <v>899</v>
      </c>
      <c r="D610" s="19" t="s">
        <v>939</v>
      </c>
      <c r="E610" s="19" t="s">
        <v>815</v>
      </c>
      <c r="F610" s="19">
        <v>0</v>
      </c>
      <c r="G610" s="43">
        <v>5.52</v>
      </c>
    </row>
    <row r="611" spans="1:7" x14ac:dyDescent="0.3">
      <c r="A611" s="19">
        <v>2955</v>
      </c>
      <c r="B611" s="19" t="s">
        <v>1509</v>
      </c>
      <c r="C611" s="19" t="s">
        <v>899</v>
      </c>
      <c r="D611" s="19" t="s">
        <v>1414</v>
      </c>
      <c r="E611" s="19" t="s">
        <v>1330</v>
      </c>
      <c r="F611" s="19">
        <v>0</v>
      </c>
      <c r="G611" s="43">
        <v>5.52</v>
      </c>
    </row>
    <row r="612" spans="1:7" x14ac:dyDescent="0.3">
      <c r="A612" s="19">
        <v>2956</v>
      </c>
      <c r="B612" s="19" t="s">
        <v>1510</v>
      </c>
      <c r="C612" s="19" t="s">
        <v>899</v>
      </c>
      <c r="D612" s="19" t="s">
        <v>1414</v>
      </c>
      <c r="E612" s="19" t="s">
        <v>815</v>
      </c>
      <c r="F612" s="19">
        <v>0</v>
      </c>
      <c r="G612" s="43">
        <v>8.98</v>
      </c>
    </row>
    <row r="613" spans="1:7" x14ac:dyDescent="0.3">
      <c r="A613" s="19">
        <v>3608</v>
      </c>
      <c r="B613" s="19" t="s">
        <v>1511</v>
      </c>
      <c r="C613" s="19" t="s">
        <v>899</v>
      </c>
      <c r="D613" s="19" t="s">
        <v>939</v>
      </c>
      <c r="E613" s="19" t="s">
        <v>815</v>
      </c>
      <c r="F613" s="19">
        <v>0</v>
      </c>
      <c r="G613" s="43">
        <v>3.07</v>
      </c>
    </row>
    <row r="614" spans="1:7" x14ac:dyDescent="0.3">
      <c r="A614" s="19">
        <v>2941</v>
      </c>
      <c r="B614" s="19" t="s">
        <v>1512</v>
      </c>
      <c r="C614" s="19" t="s">
        <v>899</v>
      </c>
      <c r="D614" s="19" t="s">
        <v>1414</v>
      </c>
      <c r="E614" s="19" t="s">
        <v>1330</v>
      </c>
      <c r="F614" s="19">
        <v>0</v>
      </c>
      <c r="G614" s="43">
        <v>22.89</v>
      </c>
    </row>
    <row r="615" spans="1:7" x14ac:dyDescent="0.3">
      <c r="A615" s="19">
        <v>2043</v>
      </c>
      <c r="B615" s="19" t="s">
        <v>1513</v>
      </c>
      <c r="C615" s="19" t="s">
        <v>899</v>
      </c>
      <c r="D615" s="19" t="s">
        <v>1414</v>
      </c>
      <c r="E615" s="19" t="s">
        <v>1330</v>
      </c>
      <c r="F615" s="19">
        <v>0</v>
      </c>
      <c r="G615" s="43">
        <v>9.94</v>
      </c>
    </row>
    <row r="616" spans="1:7" x14ac:dyDescent="0.3">
      <c r="A616" s="19">
        <v>2954</v>
      </c>
      <c r="B616" s="19" t="s">
        <v>1514</v>
      </c>
      <c r="C616" s="19" t="s">
        <v>899</v>
      </c>
      <c r="D616" s="19" t="s">
        <v>1414</v>
      </c>
      <c r="E616" s="19" t="s">
        <v>1330</v>
      </c>
      <c r="F616" s="19">
        <v>0</v>
      </c>
      <c r="G616" s="43">
        <v>6.86</v>
      </c>
    </row>
    <row r="617" spans="1:7" x14ac:dyDescent="0.3">
      <c r="A617" s="19">
        <v>2134</v>
      </c>
      <c r="B617" s="19" t="s">
        <v>1515</v>
      </c>
      <c r="C617" s="19" t="s">
        <v>899</v>
      </c>
      <c r="D617" s="19" t="s">
        <v>1414</v>
      </c>
      <c r="E617" s="19" t="s">
        <v>1330</v>
      </c>
      <c r="F617" s="19">
        <v>0</v>
      </c>
      <c r="G617" s="43">
        <v>12.66</v>
      </c>
    </row>
    <row r="618" spans="1:7" x14ac:dyDescent="0.3">
      <c r="A618" s="19">
        <v>3660</v>
      </c>
      <c r="B618" s="19" t="s">
        <v>1516</v>
      </c>
      <c r="C618" s="19" t="s">
        <v>899</v>
      </c>
      <c r="D618" s="19" t="s">
        <v>939</v>
      </c>
      <c r="E618" s="19" t="s">
        <v>815</v>
      </c>
      <c r="F618" s="19">
        <v>0</v>
      </c>
      <c r="G618" s="43">
        <v>0.86</v>
      </c>
    </row>
    <row r="619" spans="1:7" x14ac:dyDescent="0.3">
      <c r="A619" s="19">
        <v>1634</v>
      </c>
      <c r="B619" s="19" t="s">
        <v>1517</v>
      </c>
      <c r="C619" s="19" t="s">
        <v>774</v>
      </c>
      <c r="D619" s="19" t="s">
        <v>1518</v>
      </c>
      <c r="E619" s="19" t="s">
        <v>815</v>
      </c>
      <c r="F619" s="19">
        <v>0</v>
      </c>
      <c r="G619" s="43">
        <v>175</v>
      </c>
    </row>
    <row r="620" spans="1:7" x14ac:dyDescent="0.3">
      <c r="A620" s="19">
        <v>25</v>
      </c>
      <c r="B620" s="19" t="s">
        <v>1519</v>
      </c>
      <c r="C620" s="19" t="s">
        <v>899</v>
      </c>
      <c r="D620" s="19" t="s">
        <v>1520</v>
      </c>
      <c r="E620" s="19" t="s">
        <v>815</v>
      </c>
      <c r="F620" s="19">
        <v>0</v>
      </c>
      <c r="G620" s="43">
        <v>41.17</v>
      </c>
    </row>
    <row r="621" spans="1:7" x14ac:dyDescent="0.3">
      <c r="A621" s="19">
        <v>402</v>
      </c>
      <c r="B621" s="19" t="s">
        <v>1521</v>
      </c>
      <c r="C621" s="19" t="s">
        <v>899</v>
      </c>
      <c r="D621" s="19" t="s">
        <v>931</v>
      </c>
      <c r="E621" s="19" t="s">
        <v>815</v>
      </c>
      <c r="F621" s="19">
        <v>0</v>
      </c>
      <c r="G621" s="43">
        <v>23.87</v>
      </c>
    </row>
    <row r="622" spans="1:7" x14ac:dyDescent="0.3">
      <c r="A622" s="19">
        <v>781</v>
      </c>
      <c r="B622" s="19" t="s">
        <v>1522</v>
      </c>
      <c r="C622" s="19" t="s">
        <v>774</v>
      </c>
      <c r="D622" s="19" t="s">
        <v>1523</v>
      </c>
      <c r="E622" s="19" t="s">
        <v>815</v>
      </c>
      <c r="F622" s="19">
        <v>0</v>
      </c>
      <c r="G622" s="43">
        <v>88</v>
      </c>
    </row>
    <row r="623" spans="1:7" x14ac:dyDescent="0.3">
      <c r="A623" s="19">
        <v>139</v>
      </c>
      <c r="B623" s="19" t="s">
        <v>1524</v>
      </c>
      <c r="C623" s="19" t="s">
        <v>807</v>
      </c>
      <c r="D623" s="19" t="s">
        <v>1525</v>
      </c>
      <c r="E623" s="19" t="s">
        <v>1526</v>
      </c>
      <c r="F623" s="19">
        <v>0</v>
      </c>
      <c r="G623" s="43">
        <v>15</v>
      </c>
    </row>
    <row r="624" spans="1:7" x14ac:dyDescent="0.3">
      <c r="A624" s="19">
        <v>132</v>
      </c>
      <c r="B624" s="19" t="s">
        <v>1527</v>
      </c>
      <c r="C624" s="19" t="s">
        <v>807</v>
      </c>
      <c r="D624" s="19" t="s">
        <v>808</v>
      </c>
      <c r="E624" s="19" t="s">
        <v>1526</v>
      </c>
      <c r="F624" s="19">
        <v>0</v>
      </c>
      <c r="G624" s="43">
        <v>10.07</v>
      </c>
    </row>
    <row r="625" spans="1:7" x14ac:dyDescent="0.3">
      <c r="A625" s="19">
        <v>135</v>
      </c>
      <c r="B625" s="19" t="s">
        <v>1528</v>
      </c>
      <c r="C625" s="19" t="s">
        <v>807</v>
      </c>
      <c r="D625" s="19" t="s">
        <v>1529</v>
      </c>
      <c r="E625" s="19" t="s">
        <v>1526</v>
      </c>
      <c r="F625" s="19">
        <v>0</v>
      </c>
      <c r="G625" s="43">
        <v>15</v>
      </c>
    </row>
    <row r="626" spans="1:7" x14ac:dyDescent="0.3">
      <c r="A626" s="19">
        <v>150</v>
      </c>
      <c r="B626" s="19" t="s">
        <v>1530</v>
      </c>
      <c r="C626" s="19" t="s">
        <v>807</v>
      </c>
      <c r="D626" s="19" t="s">
        <v>1531</v>
      </c>
      <c r="E626" s="19" t="s">
        <v>1526</v>
      </c>
      <c r="F626" s="19">
        <v>0</v>
      </c>
      <c r="G626" s="43">
        <v>0</v>
      </c>
    </row>
    <row r="627" spans="1:7" x14ac:dyDescent="0.3">
      <c r="A627" s="19">
        <v>212</v>
      </c>
      <c r="B627" s="19" t="s">
        <v>1532</v>
      </c>
      <c r="C627" s="19" t="s">
        <v>807</v>
      </c>
      <c r="D627" s="19" t="s">
        <v>808</v>
      </c>
      <c r="E627" s="19" t="s">
        <v>1526</v>
      </c>
      <c r="F627" s="19">
        <v>0</v>
      </c>
      <c r="G627" s="43">
        <v>25</v>
      </c>
    </row>
    <row r="628" spans="1:7" x14ac:dyDescent="0.3">
      <c r="A628" s="19">
        <v>131</v>
      </c>
      <c r="B628" s="19" t="s">
        <v>1533</v>
      </c>
      <c r="C628" s="19" t="s">
        <v>807</v>
      </c>
      <c r="D628" s="19" t="s">
        <v>808</v>
      </c>
      <c r="E628" s="19" t="s">
        <v>1526</v>
      </c>
      <c r="F628" s="19">
        <v>0</v>
      </c>
      <c r="G628" s="43">
        <v>15</v>
      </c>
    </row>
    <row r="629" spans="1:7" x14ac:dyDescent="0.3">
      <c r="A629" s="19">
        <v>145</v>
      </c>
      <c r="B629" s="19" t="s">
        <v>1534</v>
      </c>
      <c r="C629" s="19" t="s">
        <v>807</v>
      </c>
      <c r="D629" s="19" t="s">
        <v>854</v>
      </c>
      <c r="E629" s="19" t="s">
        <v>1526</v>
      </c>
      <c r="F629" s="19">
        <v>0</v>
      </c>
      <c r="G629" s="43">
        <v>0</v>
      </c>
    </row>
    <row r="630" spans="1:7" x14ac:dyDescent="0.3">
      <c r="A630" s="19">
        <v>214</v>
      </c>
      <c r="B630" s="19" t="s">
        <v>1535</v>
      </c>
      <c r="C630" s="19" t="s">
        <v>807</v>
      </c>
      <c r="D630" s="19" t="s">
        <v>808</v>
      </c>
      <c r="E630" s="19" t="s">
        <v>1526</v>
      </c>
      <c r="F630" s="19">
        <v>0</v>
      </c>
      <c r="G630" s="43">
        <v>15</v>
      </c>
    </row>
    <row r="631" spans="1:7" x14ac:dyDescent="0.3">
      <c r="A631" s="19">
        <v>152</v>
      </c>
      <c r="B631" s="19" t="s">
        <v>1536</v>
      </c>
      <c r="C631" s="19" t="s">
        <v>807</v>
      </c>
      <c r="D631" s="19" t="s">
        <v>1531</v>
      </c>
      <c r="E631" s="19" t="s">
        <v>1526</v>
      </c>
      <c r="F631" s="19">
        <v>0</v>
      </c>
      <c r="G631" s="43">
        <v>0</v>
      </c>
    </row>
    <row r="632" spans="1:7" x14ac:dyDescent="0.3">
      <c r="A632" s="19">
        <v>213</v>
      </c>
      <c r="B632" s="19" t="s">
        <v>1537</v>
      </c>
      <c r="C632" s="19" t="s">
        <v>807</v>
      </c>
      <c r="D632" s="19" t="s">
        <v>808</v>
      </c>
      <c r="E632" s="19" t="s">
        <v>1526</v>
      </c>
      <c r="F632" s="19">
        <v>0</v>
      </c>
      <c r="G632" s="43">
        <v>15</v>
      </c>
    </row>
    <row r="633" spans="1:7" x14ac:dyDescent="0.3">
      <c r="A633" s="19">
        <v>215</v>
      </c>
      <c r="B633" s="19" t="s">
        <v>1538</v>
      </c>
      <c r="C633" s="19" t="s">
        <v>807</v>
      </c>
      <c r="D633" s="19" t="s">
        <v>808</v>
      </c>
      <c r="E633" s="19" t="s">
        <v>1526</v>
      </c>
      <c r="F633" s="19">
        <v>0</v>
      </c>
      <c r="G633" s="43">
        <v>15</v>
      </c>
    </row>
    <row r="634" spans="1:7" x14ac:dyDescent="0.3">
      <c r="A634" s="19">
        <v>137</v>
      </c>
      <c r="B634" s="19" t="s">
        <v>1539</v>
      </c>
      <c r="C634" s="19" t="s">
        <v>807</v>
      </c>
      <c r="D634" s="19" t="s">
        <v>1529</v>
      </c>
      <c r="E634" s="19" t="s">
        <v>1526</v>
      </c>
      <c r="F634" s="19">
        <v>0</v>
      </c>
      <c r="G634" s="43">
        <v>12</v>
      </c>
    </row>
    <row r="635" spans="1:7" x14ac:dyDescent="0.3">
      <c r="A635" s="19">
        <v>216</v>
      </c>
      <c r="B635" s="19" t="s">
        <v>1540</v>
      </c>
      <c r="C635" s="19" t="s">
        <v>807</v>
      </c>
      <c r="D635" s="19" t="s">
        <v>808</v>
      </c>
      <c r="E635" s="19" t="s">
        <v>1526</v>
      </c>
      <c r="F635" s="19">
        <v>0</v>
      </c>
      <c r="G635" s="43">
        <v>10</v>
      </c>
    </row>
    <row r="636" spans="1:7" x14ac:dyDescent="0.3">
      <c r="A636" s="19">
        <v>144</v>
      </c>
      <c r="B636" s="19" t="s">
        <v>1541</v>
      </c>
      <c r="C636" s="19" t="s">
        <v>807</v>
      </c>
      <c r="D636" s="19" t="s">
        <v>854</v>
      </c>
      <c r="E636" s="19" t="s">
        <v>1526</v>
      </c>
      <c r="F636" s="19">
        <v>0</v>
      </c>
      <c r="G636" s="43">
        <v>0</v>
      </c>
    </row>
    <row r="637" spans="1:7" x14ac:dyDescent="0.3">
      <c r="A637" s="19">
        <v>217</v>
      </c>
      <c r="B637" s="19" t="s">
        <v>1542</v>
      </c>
      <c r="C637" s="19" t="s">
        <v>807</v>
      </c>
      <c r="D637" s="19" t="s">
        <v>808</v>
      </c>
      <c r="E637" s="19" t="s">
        <v>1526</v>
      </c>
      <c r="F637" s="19">
        <v>0</v>
      </c>
      <c r="G637" s="43">
        <v>10</v>
      </c>
    </row>
    <row r="638" spans="1:7" x14ac:dyDescent="0.3">
      <c r="A638" s="19">
        <v>146</v>
      </c>
      <c r="B638" s="19" t="s">
        <v>1543</v>
      </c>
      <c r="C638" s="19" t="s">
        <v>807</v>
      </c>
      <c r="D638" s="19" t="s">
        <v>808</v>
      </c>
      <c r="E638" s="19" t="s">
        <v>1526</v>
      </c>
      <c r="F638" s="19">
        <v>0</v>
      </c>
      <c r="G638" s="43">
        <v>15.84</v>
      </c>
    </row>
    <row r="639" spans="1:7" x14ac:dyDescent="0.3">
      <c r="A639" s="19">
        <v>147</v>
      </c>
      <c r="B639" s="19" t="s">
        <v>1544</v>
      </c>
      <c r="C639" s="19" t="s">
        <v>807</v>
      </c>
      <c r="D639" s="19" t="s">
        <v>854</v>
      </c>
      <c r="E639" s="19" t="s">
        <v>1526</v>
      </c>
      <c r="F639" s="19">
        <v>0</v>
      </c>
      <c r="G639" s="43">
        <v>0</v>
      </c>
    </row>
    <row r="640" spans="1:7" x14ac:dyDescent="0.3">
      <c r="A640" s="19">
        <v>129</v>
      </c>
      <c r="B640" s="19" t="s">
        <v>1545</v>
      </c>
      <c r="C640" s="19" t="s">
        <v>807</v>
      </c>
      <c r="D640" s="19" t="s">
        <v>808</v>
      </c>
      <c r="E640" s="19" t="s">
        <v>1526</v>
      </c>
      <c r="F640" s="19">
        <v>0</v>
      </c>
      <c r="G640" s="43">
        <v>15</v>
      </c>
    </row>
    <row r="641" spans="1:7" x14ac:dyDescent="0.3">
      <c r="A641" s="19">
        <v>143</v>
      </c>
      <c r="B641" s="19" t="s">
        <v>1546</v>
      </c>
      <c r="C641" s="19" t="s">
        <v>807</v>
      </c>
      <c r="D641" s="19" t="s">
        <v>854</v>
      </c>
      <c r="E641" s="19" t="s">
        <v>1526</v>
      </c>
      <c r="F641" s="19">
        <v>0</v>
      </c>
      <c r="G641" s="43">
        <v>15</v>
      </c>
    </row>
    <row r="642" spans="1:7" x14ac:dyDescent="0.3">
      <c r="A642" s="19">
        <v>141</v>
      </c>
      <c r="B642" s="19" t="s">
        <v>1547</v>
      </c>
      <c r="C642" s="19" t="s">
        <v>807</v>
      </c>
      <c r="D642" s="19" t="s">
        <v>1531</v>
      </c>
      <c r="E642" s="19" t="s">
        <v>1526</v>
      </c>
      <c r="F642" s="19">
        <v>0</v>
      </c>
      <c r="G642" s="43">
        <v>10.07</v>
      </c>
    </row>
    <row r="643" spans="1:7" x14ac:dyDescent="0.3">
      <c r="A643" s="19">
        <v>2920</v>
      </c>
      <c r="B643" s="19" t="s">
        <v>1548</v>
      </c>
      <c r="C643" s="19" t="s">
        <v>781</v>
      </c>
      <c r="D643" s="19" t="s">
        <v>819</v>
      </c>
      <c r="E643" s="19" t="s">
        <v>1526</v>
      </c>
      <c r="F643" s="19">
        <v>0</v>
      </c>
      <c r="G643" s="43">
        <v>0.18</v>
      </c>
    </row>
    <row r="644" spans="1:7" x14ac:dyDescent="0.3">
      <c r="A644" s="19">
        <v>128</v>
      </c>
      <c r="B644" s="19" t="s">
        <v>1549</v>
      </c>
      <c r="C644" s="19" t="s">
        <v>807</v>
      </c>
      <c r="D644" s="19" t="s">
        <v>808</v>
      </c>
      <c r="E644" s="19" t="s">
        <v>1526</v>
      </c>
      <c r="F644" s="19">
        <v>0</v>
      </c>
      <c r="G644" s="43">
        <v>25</v>
      </c>
    </row>
    <row r="645" spans="1:7" x14ac:dyDescent="0.3">
      <c r="A645" s="19">
        <v>130</v>
      </c>
      <c r="B645" s="19" t="s">
        <v>1550</v>
      </c>
      <c r="C645" s="19" t="s">
        <v>807</v>
      </c>
      <c r="D645" s="19" t="s">
        <v>808</v>
      </c>
      <c r="E645" s="19" t="s">
        <v>1526</v>
      </c>
      <c r="F645" s="19">
        <v>0</v>
      </c>
      <c r="G645" s="43">
        <v>10.07</v>
      </c>
    </row>
    <row r="646" spans="1:7" x14ac:dyDescent="0.3">
      <c r="A646" s="19">
        <v>107</v>
      </c>
      <c r="B646" s="19" t="s">
        <v>1551</v>
      </c>
      <c r="C646" s="19" t="s">
        <v>807</v>
      </c>
      <c r="D646" s="19" t="s">
        <v>808</v>
      </c>
      <c r="E646" s="19" t="s">
        <v>1526</v>
      </c>
      <c r="F646" s="19">
        <v>0</v>
      </c>
      <c r="G646" s="43">
        <v>15</v>
      </c>
    </row>
    <row r="647" spans="1:7" x14ac:dyDescent="0.3">
      <c r="A647" s="19">
        <v>306</v>
      </c>
      <c r="B647" s="19" t="s">
        <v>1552</v>
      </c>
      <c r="C647" s="19" t="s">
        <v>807</v>
      </c>
      <c r="D647" s="19" t="s">
        <v>808</v>
      </c>
      <c r="E647" s="19" t="s">
        <v>1526</v>
      </c>
      <c r="F647" s="19">
        <v>0</v>
      </c>
      <c r="G647" s="43">
        <v>15</v>
      </c>
    </row>
    <row r="648" spans="1:7" x14ac:dyDescent="0.3">
      <c r="A648" s="19">
        <v>149</v>
      </c>
      <c r="B648" s="19" t="s">
        <v>1553</v>
      </c>
      <c r="C648" s="19" t="s">
        <v>807</v>
      </c>
      <c r="D648" s="19" t="s">
        <v>1554</v>
      </c>
      <c r="E648" s="19" t="s">
        <v>1526</v>
      </c>
      <c r="F648" s="19">
        <v>0</v>
      </c>
      <c r="G648" s="43">
        <v>15</v>
      </c>
    </row>
    <row r="649" spans="1:7" x14ac:dyDescent="0.3">
      <c r="A649" s="19">
        <v>134</v>
      </c>
      <c r="B649" s="19" t="s">
        <v>1555</v>
      </c>
      <c r="C649" s="19" t="s">
        <v>807</v>
      </c>
      <c r="D649" s="19" t="s">
        <v>1529</v>
      </c>
      <c r="E649" s="19" t="s">
        <v>1526</v>
      </c>
      <c r="F649" s="19">
        <v>0</v>
      </c>
      <c r="G649" s="43">
        <v>15</v>
      </c>
    </row>
    <row r="650" spans="1:7" x14ac:dyDescent="0.3">
      <c r="A650" s="19">
        <v>151</v>
      </c>
      <c r="B650" s="19" t="s">
        <v>1556</v>
      </c>
      <c r="C650" s="19" t="s">
        <v>807</v>
      </c>
      <c r="D650" s="19" t="s">
        <v>854</v>
      </c>
      <c r="E650" s="19" t="s">
        <v>1526</v>
      </c>
      <c r="F650" s="19">
        <v>0</v>
      </c>
      <c r="G650" s="43">
        <v>0</v>
      </c>
    </row>
    <row r="651" spans="1:7" x14ac:dyDescent="0.3">
      <c r="A651" s="19">
        <v>133</v>
      </c>
      <c r="B651" s="19" t="s">
        <v>1557</v>
      </c>
      <c r="C651" s="19" t="s">
        <v>807</v>
      </c>
      <c r="D651" s="19" t="s">
        <v>1529</v>
      </c>
      <c r="E651" s="19" t="s">
        <v>1526</v>
      </c>
      <c r="F651" s="19">
        <v>0</v>
      </c>
      <c r="G651" s="43">
        <v>12</v>
      </c>
    </row>
    <row r="652" spans="1:7" x14ac:dyDescent="0.3">
      <c r="A652" s="19">
        <v>148</v>
      </c>
      <c r="B652" s="19" t="s">
        <v>1558</v>
      </c>
      <c r="C652" s="19" t="s">
        <v>807</v>
      </c>
      <c r="D652" s="19" t="s">
        <v>854</v>
      </c>
      <c r="E652" s="19" t="s">
        <v>1526</v>
      </c>
      <c r="F652" s="19">
        <v>0</v>
      </c>
      <c r="G652" s="43">
        <v>0</v>
      </c>
    </row>
    <row r="653" spans="1:7" x14ac:dyDescent="0.3">
      <c r="A653" s="19">
        <v>142</v>
      </c>
      <c r="B653" s="19" t="s">
        <v>1559</v>
      </c>
      <c r="C653" s="19" t="s">
        <v>807</v>
      </c>
      <c r="D653" s="19" t="s">
        <v>854</v>
      </c>
      <c r="E653" s="19" t="s">
        <v>1526</v>
      </c>
      <c r="F653" s="19">
        <v>0</v>
      </c>
      <c r="G653" s="43">
        <v>0</v>
      </c>
    </row>
    <row r="654" spans="1:7" x14ac:dyDescent="0.3">
      <c r="A654" s="19">
        <v>138</v>
      </c>
      <c r="B654" s="19" t="s">
        <v>1560</v>
      </c>
      <c r="C654" s="19" t="s">
        <v>807</v>
      </c>
      <c r="D654" s="19" t="s">
        <v>1529</v>
      </c>
      <c r="E654" s="19" t="s">
        <v>1526</v>
      </c>
      <c r="F654" s="19">
        <v>0</v>
      </c>
      <c r="G654" s="43">
        <v>15</v>
      </c>
    </row>
    <row r="655" spans="1:7" x14ac:dyDescent="0.3">
      <c r="A655" s="19">
        <v>2921</v>
      </c>
      <c r="B655" s="19" t="s">
        <v>1561</v>
      </c>
      <c r="C655" s="19" t="s">
        <v>781</v>
      </c>
      <c r="D655" s="19" t="s">
        <v>819</v>
      </c>
      <c r="E655" s="19" t="s">
        <v>1526</v>
      </c>
      <c r="F655" s="19">
        <v>0</v>
      </c>
      <c r="G655" s="43">
        <v>0.37</v>
      </c>
    </row>
    <row r="656" spans="1:7" x14ac:dyDescent="0.3">
      <c r="A656" s="19">
        <v>140</v>
      </c>
      <c r="B656" s="19" t="s">
        <v>1562</v>
      </c>
      <c r="C656" s="19" t="s">
        <v>807</v>
      </c>
      <c r="D656" s="19" t="s">
        <v>1563</v>
      </c>
      <c r="E656" s="19" t="s">
        <v>1526</v>
      </c>
      <c r="F656" s="19">
        <v>0</v>
      </c>
      <c r="G656" s="43">
        <v>15</v>
      </c>
    </row>
    <row r="657" spans="1:7" x14ac:dyDescent="0.3">
      <c r="A657" s="19">
        <v>136</v>
      </c>
      <c r="B657" s="19" t="s">
        <v>1564</v>
      </c>
      <c r="C657" s="19" t="s">
        <v>807</v>
      </c>
      <c r="D657" s="19" t="s">
        <v>1529</v>
      </c>
      <c r="E657" s="19" t="s">
        <v>1526</v>
      </c>
      <c r="F657" s="19">
        <v>0</v>
      </c>
      <c r="G657" s="43">
        <v>12</v>
      </c>
    </row>
    <row r="658" spans="1:7" x14ac:dyDescent="0.3">
      <c r="A658" s="19">
        <v>153</v>
      </c>
      <c r="B658" s="19" t="s">
        <v>1565</v>
      </c>
      <c r="C658" s="19" t="s">
        <v>807</v>
      </c>
      <c r="D658" s="19" t="s">
        <v>854</v>
      </c>
      <c r="E658" s="19" t="s">
        <v>1526</v>
      </c>
      <c r="F658" s="19">
        <v>0</v>
      </c>
      <c r="G658" s="43">
        <v>15</v>
      </c>
    </row>
    <row r="659" spans="1:7" x14ac:dyDescent="0.3">
      <c r="A659" s="19">
        <v>180</v>
      </c>
      <c r="B659" s="19" t="s">
        <v>1566</v>
      </c>
      <c r="C659" s="19" t="s">
        <v>807</v>
      </c>
      <c r="D659" s="19" t="s">
        <v>1554</v>
      </c>
      <c r="E659" s="19" t="s">
        <v>1526</v>
      </c>
      <c r="F659" s="19">
        <v>0</v>
      </c>
      <c r="G659" s="43">
        <v>17.059999999999999</v>
      </c>
    </row>
    <row r="660" spans="1:7" x14ac:dyDescent="0.3">
      <c r="A660" s="19">
        <v>1533</v>
      </c>
      <c r="B660" s="19" t="s">
        <v>1567</v>
      </c>
      <c r="C660" s="19" t="s">
        <v>774</v>
      </c>
      <c r="D660" s="19" t="s">
        <v>1568</v>
      </c>
      <c r="E660" s="19" t="s">
        <v>815</v>
      </c>
      <c r="F660" s="19">
        <v>0</v>
      </c>
      <c r="G660" s="43">
        <v>0</v>
      </c>
    </row>
    <row r="661" spans="1:7" x14ac:dyDescent="0.3">
      <c r="A661" s="19">
        <v>1534</v>
      </c>
      <c r="B661" s="19" t="s">
        <v>1569</v>
      </c>
      <c r="C661" s="19" t="s">
        <v>774</v>
      </c>
      <c r="D661" s="19" t="s">
        <v>1570</v>
      </c>
      <c r="E661" s="19" t="s">
        <v>815</v>
      </c>
      <c r="F661" s="19">
        <v>1</v>
      </c>
      <c r="G661" s="43">
        <v>130</v>
      </c>
    </row>
    <row r="662" spans="1:7" x14ac:dyDescent="0.3">
      <c r="A662" s="19">
        <v>1535</v>
      </c>
      <c r="B662" s="19" t="s">
        <v>1571</v>
      </c>
      <c r="C662" s="19" t="s">
        <v>774</v>
      </c>
      <c r="D662" s="19" t="s">
        <v>1572</v>
      </c>
      <c r="E662" s="19" t="s">
        <v>815</v>
      </c>
      <c r="F662" s="19">
        <v>1</v>
      </c>
      <c r="G662" s="43">
        <v>650</v>
      </c>
    </row>
    <row r="663" spans="1:7" x14ac:dyDescent="0.3">
      <c r="A663" s="19">
        <v>4021</v>
      </c>
      <c r="B663" s="19" t="s">
        <v>1573</v>
      </c>
      <c r="C663" s="19" t="s">
        <v>812</v>
      </c>
      <c r="D663" s="19" t="s">
        <v>1574</v>
      </c>
      <c r="E663" s="19" t="s">
        <v>815</v>
      </c>
      <c r="F663" s="19">
        <v>0</v>
      </c>
      <c r="G663" s="43">
        <v>0.1</v>
      </c>
    </row>
    <row r="664" spans="1:7" x14ac:dyDescent="0.3">
      <c r="A664" s="19">
        <v>1536</v>
      </c>
      <c r="B664" s="19" t="s">
        <v>1575</v>
      </c>
      <c r="C664" s="19" t="s">
        <v>899</v>
      </c>
      <c r="D664" s="19" t="s">
        <v>1576</v>
      </c>
      <c r="E664" s="19" t="s">
        <v>815</v>
      </c>
      <c r="F664" s="19">
        <v>0.25</v>
      </c>
      <c r="G664" s="43">
        <v>990</v>
      </c>
    </row>
    <row r="665" spans="1:7" x14ac:dyDescent="0.3">
      <c r="A665" s="19">
        <v>1537</v>
      </c>
      <c r="B665" s="19" t="s">
        <v>1577</v>
      </c>
      <c r="C665" s="19" t="s">
        <v>774</v>
      </c>
      <c r="D665" s="19" t="s">
        <v>1578</v>
      </c>
      <c r="E665" s="19" t="s">
        <v>815</v>
      </c>
      <c r="F665" s="19">
        <v>10</v>
      </c>
      <c r="G665" s="43">
        <v>104.02</v>
      </c>
    </row>
    <row r="666" spans="1:7" x14ac:dyDescent="0.3">
      <c r="A666" s="19">
        <v>1538</v>
      </c>
      <c r="B666" s="19" t="s">
        <v>1579</v>
      </c>
      <c r="C666" s="19" t="s">
        <v>774</v>
      </c>
      <c r="D666" s="19" t="s">
        <v>1570</v>
      </c>
      <c r="E666" s="19" t="s">
        <v>815</v>
      </c>
      <c r="F666" s="19">
        <v>0</v>
      </c>
      <c r="G666" s="43">
        <v>267.68</v>
      </c>
    </row>
    <row r="667" spans="1:7" x14ac:dyDescent="0.3">
      <c r="A667" s="19">
        <v>1539</v>
      </c>
      <c r="B667" s="19" t="s">
        <v>1580</v>
      </c>
      <c r="C667" s="19" t="s">
        <v>807</v>
      </c>
      <c r="D667" s="19" t="s">
        <v>1581</v>
      </c>
      <c r="E667" s="19" t="s">
        <v>815</v>
      </c>
      <c r="F667" s="19">
        <v>0</v>
      </c>
      <c r="G667" s="43">
        <v>755.83</v>
      </c>
    </row>
    <row r="668" spans="1:7" x14ac:dyDescent="0.3">
      <c r="A668" s="19">
        <v>1540</v>
      </c>
      <c r="B668" s="19" t="s">
        <v>1582</v>
      </c>
      <c r="C668" s="19" t="s">
        <v>774</v>
      </c>
      <c r="D668" s="19" t="s">
        <v>1583</v>
      </c>
      <c r="E668" s="19" t="s">
        <v>815</v>
      </c>
      <c r="F668" s="19">
        <v>0</v>
      </c>
      <c r="G668" s="43">
        <v>47</v>
      </c>
    </row>
    <row r="669" spans="1:7" x14ac:dyDescent="0.3">
      <c r="A669" s="19">
        <v>4004</v>
      </c>
      <c r="B669" s="19" t="s">
        <v>1584</v>
      </c>
      <c r="C669" s="19" t="s">
        <v>774</v>
      </c>
      <c r="D669" s="19" t="s">
        <v>1574</v>
      </c>
      <c r="E669" s="19" t="s">
        <v>815</v>
      </c>
      <c r="F669" s="19">
        <v>1</v>
      </c>
      <c r="G669" s="43">
        <v>65.5</v>
      </c>
    </row>
    <row r="670" spans="1:7" x14ac:dyDescent="0.3">
      <c r="A670" s="19">
        <v>4003</v>
      </c>
      <c r="B670" s="19" t="s">
        <v>1585</v>
      </c>
      <c r="C670" s="19" t="s">
        <v>774</v>
      </c>
      <c r="D670" s="19" t="s">
        <v>1574</v>
      </c>
      <c r="E670" s="19" t="s">
        <v>815</v>
      </c>
      <c r="F670" s="19">
        <v>1</v>
      </c>
      <c r="G670" s="43">
        <v>65.5</v>
      </c>
    </row>
    <row r="671" spans="1:7" x14ac:dyDescent="0.3">
      <c r="A671" s="19">
        <v>1541</v>
      </c>
      <c r="B671" s="19" t="s">
        <v>1586</v>
      </c>
      <c r="C671" s="19" t="s">
        <v>807</v>
      </c>
      <c r="D671" s="19" t="s">
        <v>1587</v>
      </c>
      <c r="E671" s="19" t="s">
        <v>815</v>
      </c>
      <c r="F671" s="19">
        <v>1</v>
      </c>
      <c r="G671" s="43">
        <v>16</v>
      </c>
    </row>
    <row r="672" spans="1:7" x14ac:dyDescent="0.3">
      <c r="A672" s="19">
        <v>1542</v>
      </c>
      <c r="B672" s="19" t="s">
        <v>1588</v>
      </c>
      <c r="C672" s="19" t="s">
        <v>807</v>
      </c>
      <c r="D672" s="19" t="s">
        <v>1587</v>
      </c>
      <c r="E672" s="19" t="s">
        <v>972</v>
      </c>
      <c r="F672" s="19">
        <v>0</v>
      </c>
      <c r="G672" s="43">
        <v>40</v>
      </c>
    </row>
    <row r="673" spans="1:7" x14ac:dyDescent="0.3">
      <c r="A673" s="19">
        <v>1543</v>
      </c>
      <c r="B673" s="19" t="s">
        <v>1589</v>
      </c>
      <c r="C673" s="19" t="s">
        <v>774</v>
      </c>
      <c r="D673" s="19" t="s">
        <v>1590</v>
      </c>
      <c r="E673" s="19" t="s">
        <v>972</v>
      </c>
      <c r="F673" s="19">
        <v>0</v>
      </c>
      <c r="G673" s="43">
        <v>32.75</v>
      </c>
    </row>
    <row r="674" spans="1:7" x14ac:dyDescent="0.3">
      <c r="A674" s="19">
        <v>472</v>
      </c>
      <c r="B674" s="19" t="s">
        <v>1591</v>
      </c>
      <c r="C674" s="19" t="s">
        <v>812</v>
      </c>
      <c r="D674" s="19" t="s">
        <v>1574</v>
      </c>
      <c r="E674" s="19" t="s">
        <v>815</v>
      </c>
      <c r="F674" s="19">
        <v>0.1</v>
      </c>
      <c r="G674" s="43">
        <v>1.33</v>
      </c>
    </row>
    <row r="675" spans="1:7" x14ac:dyDescent="0.3">
      <c r="A675" s="19">
        <v>3960</v>
      </c>
      <c r="B675" s="19" t="s">
        <v>1592</v>
      </c>
      <c r="C675" s="19" t="s">
        <v>807</v>
      </c>
      <c r="D675" s="19" t="s">
        <v>1574</v>
      </c>
      <c r="E675" s="19" t="s">
        <v>815</v>
      </c>
      <c r="F675" s="19">
        <v>0</v>
      </c>
      <c r="G675" s="43">
        <v>84.06</v>
      </c>
    </row>
    <row r="676" spans="1:7" x14ac:dyDescent="0.3">
      <c r="A676" s="19">
        <v>493</v>
      </c>
      <c r="B676" s="19" t="s">
        <v>1593</v>
      </c>
      <c r="C676" s="19" t="s">
        <v>774</v>
      </c>
      <c r="D676" s="19" t="s">
        <v>1594</v>
      </c>
      <c r="E676" s="19" t="s">
        <v>815</v>
      </c>
      <c r="F676" s="19">
        <v>1</v>
      </c>
      <c r="G676" s="43">
        <v>840</v>
      </c>
    </row>
    <row r="677" spans="1:7" x14ac:dyDescent="0.3">
      <c r="A677" s="19">
        <v>1544</v>
      </c>
      <c r="B677" s="19" t="s">
        <v>1595</v>
      </c>
      <c r="C677" s="19" t="s">
        <v>812</v>
      </c>
      <c r="D677" s="19" t="s">
        <v>1583</v>
      </c>
      <c r="E677" s="19" t="s">
        <v>972</v>
      </c>
      <c r="F677" s="19">
        <v>0</v>
      </c>
      <c r="G677" s="43">
        <v>57.4</v>
      </c>
    </row>
    <row r="678" spans="1:7" x14ac:dyDescent="0.3">
      <c r="A678" s="19">
        <v>1639</v>
      </c>
      <c r="B678" s="19" t="s">
        <v>1596</v>
      </c>
      <c r="C678" s="19" t="s">
        <v>774</v>
      </c>
      <c r="D678" s="19" t="s">
        <v>1597</v>
      </c>
      <c r="E678" s="19" t="s">
        <v>815</v>
      </c>
      <c r="F678" s="19">
        <v>0</v>
      </c>
      <c r="G678" s="43">
        <v>3200</v>
      </c>
    </row>
    <row r="679" spans="1:7" x14ac:dyDescent="0.3">
      <c r="A679" s="19">
        <v>1547</v>
      </c>
      <c r="B679" s="19" t="s">
        <v>1598</v>
      </c>
      <c r="C679" s="19" t="s">
        <v>774</v>
      </c>
      <c r="D679" s="19" t="s">
        <v>1599</v>
      </c>
      <c r="E679" s="19" t="s">
        <v>815</v>
      </c>
      <c r="F679" s="19">
        <v>5</v>
      </c>
      <c r="G679" s="43">
        <v>388.18</v>
      </c>
    </row>
    <row r="680" spans="1:7" x14ac:dyDescent="0.3">
      <c r="A680" s="19">
        <v>4033</v>
      </c>
      <c r="B680" s="19" t="s">
        <v>1600</v>
      </c>
      <c r="C680" s="19" t="s">
        <v>774</v>
      </c>
      <c r="D680" s="19" t="s">
        <v>1601</v>
      </c>
      <c r="E680" s="19" t="s">
        <v>815</v>
      </c>
      <c r="F680" s="19">
        <v>0</v>
      </c>
      <c r="G680" s="43">
        <v>1074.1400000000001</v>
      </c>
    </row>
    <row r="681" spans="1:7" x14ac:dyDescent="0.3">
      <c r="A681" s="19">
        <v>1548</v>
      </c>
      <c r="B681" s="19" t="s">
        <v>1602</v>
      </c>
      <c r="C681" s="19" t="s">
        <v>774</v>
      </c>
      <c r="D681" s="19" t="s">
        <v>1568</v>
      </c>
      <c r="E681" s="19" t="s">
        <v>972</v>
      </c>
      <c r="F681" s="19">
        <v>0</v>
      </c>
      <c r="G681" s="43">
        <v>596.48</v>
      </c>
    </row>
    <row r="682" spans="1:7" x14ac:dyDescent="0.3">
      <c r="A682" s="19">
        <v>1549</v>
      </c>
      <c r="B682" s="19" t="s">
        <v>1603</v>
      </c>
      <c r="C682" s="19" t="s">
        <v>774</v>
      </c>
      <c r="D682" s="19" t="s">
        <v>1568</v>
      </c>
      <c r="E682" s="19" t="s">
        <v>972</v>
      </c>
      <c r="F682" s="19">
        <v>0</v>
      </c>
      <c r="G682" s="43">
        <v>1174.76</v>
      </c>
    </row>
    <row r="683" spans="1:7" x14ac:dyDescent="0.3">
      <c r="A683" s="19">
        <v>1550</v>
      </c>
      <c r="B683" s="19" t="s">
        <v>1604</v>
      </c>
      <c r="C683" s="19" t="s">
        <v>774</v>
      </c>
      <c r="D683" s="19" t="s">
        <v>1568</v>
      </c>
      <c r="E683" s="19" t="s">
        <v>972</v>
      </c>
      <c r="F683" s="19">
        <v>0</v>
      </c>
      <c r="G683" s="43">
        <v>1039.49</v>
      </c>
    </row>
    <row r="684" spans="1:7" x14ac:dyDescent="0.3">
      <c r="A684" s="19">
        <v>1551</v>
      </c>
      <c r="B684" s="19" t="s">
        <v>1605</v>
      </c>
      <c r="C684" s="19" t="s">
        <v>774</v>
      </c>
      <c r="D684" s="19" t="s">
        <v>1568</v>
      </c>
      <c r="E684" s="19" t="s">
        <v>972</v>
      </c>
      <c r="F684" s="19">
        <v>0</v>
      </c>
      <c r="G684" s="43">
        <v>1144.3</v>
      </c>
    </row>
    <row r="685" spans="1:7" x14ac:dyDescent="0.3">
      <c r="A685" s="19">
        <v>1552</v>
      </c>
      <c r="B685" s="19" t="s">
        <v>1606</v>
      </c>
      <c r="C685" s="19" t="s">
        <v>774</v>
      </c>
      <c r="D685" s="19" t="s">
        <v>1568</v>
      </c>
      <c r="E685" s="19" t="s">
        <v>972</v>
      </c>
      <c r="F685" s="19">
        <v>0</v>
      </c>
      <c r="G685" s="43">
        <v>321.73</v>
      </c>
    </row>
    <row r="686" spans="1:7" x14ac:dyDescent="0.3">
      <c r="A686" s="19">
        <v>1763</v>
      </c>
      <c r="B686" s="19" t="s">
        <v>1607</v>
      </c>
      <c r="C686" s="19" t="s">
        <v>774</v>
      </c>
      <c r="D686" s="19" t="s">
        <v>1568</v>
      </c>
      <c r="E686" s="19" t="s">
        <v>972</v>
      </c>
      <c r="F686" s="19">
        <v>0</v>
      </c>
      <c r="G686" s="43">
        <v>0</v>
      </c>
    </row>
    <row r="687" spans="1:7" x14ac:dyDescent="0.3">
      <c r="A687" s="19">
        <v>1553</v>
      </c>
      <c r="B687" s="19" t="s">
        <v>1608</v>
      </c>
      <c r="C687" s="19" t="s">
        <v>774</v>
      </c>
      <c r="D687" s="19" t="s">
        <v>1609</v>
      </c>
      <c r="E687" s="19" t="s">
        <v>972</v>
      </c>
      <c r="F687" s="19">
        <v>0</v>
      </c>
      <c r="G687" s="43">
        <v>51</v>
      </c>
    </row>
    <row r="688" spans="1:7" x14ac:dyDescent="0.3">
      <c r="A688" s="19">
        <v>1578</v>
      </c>
      <c r="B688" s="19" t="s">
        <v>1610</v>
      </c>
      <c r="C688" s="19" t="s">
        <v>812</v>
      </c>
      <c r="D688" s="19" t="s">
        <v>1611</v>
      </c>
      <c r="E688" s="19" t="s">
        <v>815</v>
      </c>
      <c r="F688" s="19">
        <v>0.15</v>
      </c>
      <c r="G688" s="43">
        <v>0.31900000000000001</v>
      </c>
    </row>
    <row r="689" spans="1:7" x14ac:dyDescent="0.3">
      <c r="A689" s="19">
        <v>2451</v>
      </c>
      <c r="B689" s="19" t="s">
        <v>1612</v>
      </c>
      <c r="C689" s="19" t="s">
        <v>774</v>
      </c>
      <c r="D689" s="19" t="s">
        <v>854</v>
      </c>
      <c r="E689" s="19" t="s">
        <v>815</v>
      </c>
      <c r="F689" s="19">
        <v>0</v>
      </c>
      <c r="G689" s="43">
        <v>0</v>
      </c>
    </row>
    <row r="690" spans="1:7" x14ac:dyDescent="0.3">
      <c r="A690" s="19">
        <v>2464</v>
      </c>
      <c r="B690" s="19" t="s">
        <v>1613</v>
      </c>
      <c r="C690" s="19" t="s">
        <v>774</v>
      </c>
      <c r="D690" s="19" t="s">
        <v>1590</v>
      </c>
      <c r="E690" s="19" t="s">
        <v>815</v>
      </c>
      <c r="F690" s="19">
        <v>0</v>
      </c>
      <c r="G690" s="43">
        <v>2299.41</v>
      </c>
    </row>
    <row r="691" spans="1:7" x14ac:dyDescent="0.3">
      <c r="A691" s="19">
        <v>1554</v>
      </c>
      <c r="B691" s="19" t="s">
        <v>1614</v>
      </c>
      <c r="C691" s="19" t="s">
        <v>774</v>
      </c>
      <c r="D691" s="19" t="s">
        <v>794</v>
      </c>
      <c r="E691" s="19" t="s">
        <v>972</v>
      </c>
      <c r="F691" s="19">
        <v>1</v>
      </c>
      <c r="G691" s="43">
        <v>674.72</v>
      </c>
    </row>
    <row r="692" spans="1:7" x14ac:dyDescent="0.3">
      <c r="A692" s="19">
        <v>2452</v>
      </c>
      <c r="B692" s="19" t="s">
        <v>1615</v>
      </c>
      <c r="C692" s="19" t="s">
        <v>774</v>
      </c>
      <c r="D692" s="19" t="s">
        <v>854</v>
      </c>
      <c r="E692" s="19" t="s">
        <v>815</v>
      </c>
      <c r="F692" s="19">
        <v>0</v>
      </c>
      <c r="G692" s="43">
        <v>0</v>
      </c>
    </row>
    <row r="693" spans="1:7" x14ac:dyDescent="0.3">
      <c r="A693" s="19">
        <v>532</v>
      </c>
      <c r="B693" s="19" t="s">
        <v>1616</v>
      </c>
      <c r="C693" s="19" t="s">
        <v>774</v>
      </c>
      <c r="D693" s="19" t="s">
        <v>1617</v>
      </c>
      <c r="E693" s="19" t="s">
        <v>815</v>
      </c>
      <c r="F693" s="19">
        <v>20</v>
      </c>
      <c r="G693" s="43">
        <v>46.79</v>
      </c>
    </row>
    <row r="694" spans="1:7" x14ac:dyDescent="0.3">
      <c r="A694" s="19">
        <v>485</v>
      </c>
      <c r="B694" s="19" t="s">
        <v>1618</v>
      </c>
      <c r="C694" s="19" t="s">
        <v>774</v>
      </c>
      <c r="D694" s="19" t="s">
        <v>1619</v>
      </c>
      <c r="E694" s="19" t="s">
        <v>815</v>
      </c>
      <c r="F694" s="19">
        <v>5</v>
      </c>
      <c r="G694" s="43">
        <v>146.30000000000001</v>
      </c>
    </row>
    <row r="695" spans="1:7" x14ac:dyDescent="0.3">
      <c r="A695" s="19">
        <v>3027</v>
      </c>
      <c r="B695" s="19" t="s">
        <v>1620</v>
      </c>
      <c r="C695" s="19" t="s">
        <v>774</v>
      </c>
      <c r="D695" s="19" t="s">
        <v>1621</v>
      </c>
      <c r="E695" s="19" t="s">
        <v>815</v>
      </c>
      <c r="F695" s="19">
        <v>10</v>
      </c>
      <c r="G695" s="43">
        <v>119.15</v>
      </c>
    </row>
    <row r="696" spans="1:7" x14ac:dyDescent="0.3">
      <c r="A696" s="19">
        <v>469</v>
      </c>
      <c r="B696" s="19" t="s">
        <v>1622</v>
      </c>
      <c r="C696" s="19" t="s">
        <v>774</v>
      </c>
      <c r="D696" s="19" t="s">
        <v>1623</v>
      </c>
      <c r="E696" s="19" t="s">
        <v>815</v>
      </c>
      <c r="F696" s="19">
        <v>5</v>
      </c>
      <c r="G696" s="43">
        <v>190.7</v>
      </c>
    </row>
    <row r="697" spans="1:7" x14ac:dyDescent="0.3">
      <c r="A697" s="19">
        <v>2453</v>
      </c>
      <c r="B697" s="19" t="s">
        <v>1624</v>
      </c>
      <c r="C697" s="19" t="s">
        <v>774</v>
      </c>
      <c r="D697" s="19" t="s">
        <v>1576</v>
      </c>
      <c r="E697" s="19" t="s">
        <v>815</v>
      </c>
      <c r="F697" s="19">
        <v>1</v>
      </c>
      <c r="G697" s="43">
        <v>145.5</v>
      </c>
    </row>
    <row r="698" spans="1:7" x14ac:dyDescent="0.3">
      <c r="A698" s="19">
        <v>1555</v>
      </c>
      <c r="B698" s="19" t="s">
        <v>1625</v>
      </c>
      <c r="C698" s="19" t="s">
        <v>774</v>
      </c>
      <c r="D698" s="19" t="s">
        <v>1626</v>
      </c>
      <c r="E698" s="19" t="s">
        <v>815</v>
      </c>
      <c r="F698" s="19">
        <v>1</v>
      </c>
      <c r="G698" s="43">
        <v>905.33</v>
      </c>
    </row>
    <row r="699" spans="1:7" x14ac:dyDescent="0.3">
      <c r="A699" s="19">
        <v>1897</v>
      </c>
      <c r="B699" s="19" t="s">
        <v>1627</v>
      </c>
      <c r="C699" s="19" t="s">
        <v>774</v>
      </c>
      <c r="D699" s="19" t="s">
        <v>1628</v>
      </c>
      <c r="E699" s="19" t="s">
        <v>815</v>
      </c>
      <c r="F699" s="19">
        <v>1</v>
      </c>
      <c r="G699" s="43">
        <v>12</v>
      </c>
    </row>
    <row r="700" spans="1:7" x14ac:dyDescent="0.3">
      <c r="A700" s="19">
        <v>2838</v>
      </c>
      <c r="B700" s="19" t="s">
        <v>1629</v>
      </c>
      <c r="C700" s="19" t="s">
        <v>774</v>
      </c>
      <c r="D700" s="19" t="s">
        <v>1623</v>
      </c>
      <c r="E700" s="19" t="s">
        <v>815</v>
      </c>
      <c r="F700" s="19">
        <v>1</v>
      </c>
      <c r="G700" s="43">
        <v>281.83999999999997</v>
      </c>
    </row>
    <row r="701" spans="1:7" x14ac:dyDescent="0.3">
      <c r="A701" s="19">
        <v>1557</v>
      </c>
      <c r="B701" s="19" t="s">
        <v>1630</v>
      </c>
      <c r="C701" s="19" t="s">
        <v>774</v>
      </c>
      <c r="D701" s="19" t="s">
        <v>1631</v>
      </c>
      <c r="E701" s="19" t="s">
        <v>972</v>
      </c>
      <c r="F701" s="19">
        <v>0</v>
      </c>
      <c r="G701" s="43">
        <v>11.8</v>
      </c>
    </row>
    <row r="702" spans="1:7" x14ac:dyDescent="0.3">
      <c r="A702" s="19">
        <v>1558</v>
      </c>
      <c r="B702" s="19" t="s">
        <v>1632</v>
      </c>
      <c r="C702" s="19" t="s">
        <v>774</v>
      </c>
      <c r="D702" s="19" t="s">
        <v>1631</v>
      </c>
      <c r="E702" s="19" t="s">
        <v>972</v>
      </c>
      <c r="F702" s="19">
        <v>0</v>
      </c>
      <c r="G702" s="43">
        <v>14</v>
      </c>
    </row>
    <row r="703" spans="1:7" x14ac:dyDescent="0.3">
      <c r="A703" s="19">
        <v>1559</v>
      </c>
      <c r="B703" s="19" t="s">
        <v>1633</v>
      </c>
      <c r="C703" s="19" t="s">
        <v>774</v>
      </c>
      <c r="D703" s="19" t="s">
        <v>1570</v>
      </c>
      <c r="E703" s="19" t="s">
        <v>972</v>
      </c>
      <c r="F703" s="19">
        <v>0</v>
      </c>
      <c r="G703" s="43">
        <v>125.32</v>
      </c>
    </row>
    <row r="704" spans="1:7" x14ac:dyDescent="0.3">
      <c r="A704" s="19">
        <v>495</v>
      </c>
      <c r="B704" s="19" t="s">
        <v>1634</v>
      </c>
      <c r="C704" s="19" t="s">
        <v>899</v>
      </c>
      <c r="D704" s="19" t="s">
        <v>1635</v>
      </c>
      <c r="E704" s="19" t="s">
        <v>815</v>
      </c>
      <c r="F704" s="19">
        <v>1</v>
      </c>
      <c r="G704" s="43">
        <v>512.75</v>
      </c>
    </row>
    <row r="705" spans="1:7" x14ac:dyDescent="0.3">
      <c r="A705" s="19">
        <v>530</v>
      </c>
      <c r="B705" s="19" t="s">
        <v>1636</v>
      </c>
      <c r="C705" s="19" t="s">
        <v>774</v>
      </c>
      <c r="D705" s="19" t="s">
        <v>1574</v>
      </c>
      <c r="E705" s="19" t="s">
        <v>815</v>
      </c>
      <c r="F705" s="19">
        <v>1</v>
      </c>
      <c r="G705" s="43">
        <v>145.5</v>
      </c>
    </row>
    <row r="706" spans="1:7" x14ac:dyDescent="0.3">
      <c r="A706" s="19">
        <v>1560</v>
      </c>
      <c r="B706" s="19" t="s">
        <v>1637</v>
      </c>
      <c r="C706" s="19" t="s">
        <v>812</v>
      </c>
      <c r="D706" s="19" t="s">
        <v>1572</v>
      </c>
      <c r="E706" s="19" t="s">
        <v>815</v>
      </c>
      <c r="F706" s="19">
        <v>1</v>
      </c>
      <c r="G706" s="43">
        <v>1.5</v>
      </c>
    </row>
    <row r="707" spans="1:7" x14ac:dyDescent="0.3">
      <c r="A707" s="19">
        <v>2454</v>
      </c>
      <c r="B707" s="19" t="s">
        <v>1638</v>
      </c>
      <c r="C707" s="19" t="s">
        <v>774</v>
      </c>
      <c r="D707" s="19" t="s">
        <v>854</v>
      </c>
      <c r="E707" s="19" t="s">
        <v>815</v>
      </c>
      <c r="F707" s="19">
        <v>0</v>
      </c>
      <c r="G707" s="43">
        <v>0</v>
      </c>
    </row>
    <row r="708" spans="1:7" x14ac:dyDescent="0.3">
      <c r="A708" s="19">
        <v>1561</v>
      </c>
      <c r="B708" s="19" t="s">
        <v>1639</v>
      </c>
      <c r="C708" s="19" t="s">
        <v>774</v>
      </c>
      <c r="D708" s="19" t="s">
        <v>1594</v>
      </c>
      <c r="E708" s="19" t="s">
        <v>972</v>
      </c>
      <c r="F708" s="19">
        <v>0</v>
      </c>
      <c r="G708" s="43">
        <v>85.29</v>
      </c>
    </row>
    <row r="709" spans="1:7" x14ac:dyDescent="0.3">
      <c r="A709" s="19">
        <v>1562</v>
      </c>
      <c r="B709" s="19" t="s">
        <v>1640</v>
      </c>
      <c r="C709" s="19" t="s">
        <v>774</v>
      </c>
      <c r="D709" s="19" t="s">
        <v>1594</v>
      </c>
      <c r="E709" s="19" t="s">
        <v>972</v>
      </c>
      <c r="F709" s="19">
        <v>0</v>
      </c>
      <c r="G709" s="43">
        <v>60.92</v>
      </c>
    </row>
    <row r="710" spans="1:7" x14ac:dyDescent="0.3">
      <c r="A710" s="19">
        <v>1563</v>
      </c>
      <c r="B710" s="19" t="s">
        <v>1641</v>
      </c>
      <c r="C710" s="19" t="s">
        <v>812</v>
      </c>
      <c r="D710" s="19" t="s">
        <v>1583</v>
      </c>
      <c r="E710" s="19" t="s">
        <v>972</v>
      </c>
      <c r="F710" s="19">
        <v>0</v>
      </c>
      <c r="G710" s="43">
        <v>125</v>
      </c>
    </row>
    <row r="711" spans="1:7" x14ac:dyDescent="0.3">
      <c r="A711" s="19">
        <v>1564</v>
      </c>
      <c r="B711" s="19" t="s">
        <v>1642</v>
      </c>
      <c r="C711" s="19" t="s">
        <v>774</v>
      </c>
      <c r="D711" s="19" t="s">
        <v>1570</v>
      </c>
      <c r="E711" s="19" t="s">
        <v>972</v>
      </c>
      <c r="F711" s="19">
        <v>0</v>
      </c>
      <c r="G711" s="43">
        <v>1009.9</v>
      </c>
    </row>
    <row r="712" spans="1:7" x14ac:dyDescent="0.3">
      <c r="A712" s="19">
        <v>536</v>
      </c>
      <c r="B712" s="19" t="s">
        <v>1643</v>
      </c>
      <c r="C712" s="19" t="s">
        <v>774</v>
      </c>
      <c r="D712" s="19" t="s">
        <v>968</v>
      </c>
      <c r="E712" s="19" t="s">
        <v>815</v>
      </c>
      <c r="F712" s="19">
        <v>1</v>
      </c>
      <c r="G712" s="43">
        <v>221.17</v>
      </c>
    </row>
    <row r="713" spans="1:7" x14ac:dyDescent="0.3">
      <c r="A713" s="19">
        <v>1918</v>
      </c>
      <c r="B713" s="19" t="s">
        <v>1644</v>
      </c>
      <c r="C713" s="19" t="s">
        <v>1242</v>
      </c>
      <c r="D713" s="19" t="s">
        <v>1645</v>
      </c>
      <c r="E713" s="19" t="s">
        <v>815</v>
      </c>
      <c r="F713" s="19">
        <v>0</v>
      </c>
      <c r="G713" s="43">
        <v>100.69</v>
      </c>
    </row>
    <row r="714" spans="1:7" x14ac:dyDescent="0.3">
      <c r="A714" s="19">
        <v>2839</v>
      </c>
      <c r="B714" s="19" t="s">
        <v>1646</v>
      </c>
      <c r="C714" s="19" t="s">
        <v>774</v>
      </c>
      <c r="D714" s="19" t="s">
        <v>1623</v>
      </c>
      <c r="E714" s="19" t="s">
        <v>815</v>
      </c>
      <c r="F714" s="19">
        <v>0</v>
      </c>
      <c r="G714" s="43">
        <v>293.74</v>
      </c>
    </row>
    <row r="715" spans="1:7" x14ac:dyDescent="0.3">
      <c r="A715" s="19">
        <v>1566</v>
      </c>
      <c r="B715" s="19" t="s">
        <v>1647</v>
      </c>
      <c r="C715" s="19" t="s">
        <v>774</v>
      </c>
      <c r="D715" s="19" t="s">
        <v>964</v>
      </c>
      <c r="E715" s="19" t="s">
        <v>972</v>
      </c>
      <c r="F715" s="19">
        <v>0</v>
      </c>
      <c r="G715" s="43">
        <v>137.97</v>
      </c>
    </row>
    <row r="716" spans="1:7" x14ac:dyDescent="0.3">
      <c r="A716" s="19">
        <v>1900</v>
      </c>
      <c r="B716" s="19" t="s">
        <v>1648</v>
      </c>
      <c r="C716" s="19" t="s">
        <v>774</v>
      </c>
      <c r="D716" s="19" t="s">
        <v>1574</v>
      </c>
      <c r="E716" s="19" t="s">
        <v>815</v>
      </c>
      <c r="F716" s="19">
        <v>1</v>
      </c>
      <c r="G716" s="43">
        <v>27.84</v>
      </c>
    </row>
    <row r="717" spans="1:7" x14ac:dyDescent="0.3">
      <c r="A717" s="19">
        <v>999</v>
      </c>
      <c r="B717" s="19" t="s">
        <v>1649</v>
      </c>
      <c r="C717" s="19" t="s">
        <v>774</v>
      </c>
      <c r="D717" s="19" t="s">
        <v>1650</v>
      </c>
      <c r="E717" s="19" t="s">
        <v>815</v>
      </c>
      <c r="F717" s="19">
        <v>0.1</v>
      </c>
      <c r="G717" s="43">
        <v>169.2</v>
      </c>
    </row>
    <row r="718" spans="1:7" x14ac:dyDescent="0.3">
      <c r="A718" s="19">
        <v>1567</v>
      </c>
      <c r="B718" s="19" t="s">
        <v>1651</v>
      </c>
      <c r="C718" s="19" t="s">
        <v>774</v>
      </c>
      <c r="D718" s="19" t="s">
        <v>1652</v>
      </c>
      <c r="E718" s="19" t="s">
        <v>972</v>
      </c>
      <c r="F718" s="19">
        <v>0</v>
      </c>
      <c r="G718" s="43">
        <v>219.8</v>
      </c>
    </row>
    <row r="719" spans="1:7" x14ac:dyDescent="0.3">
      <c r="A719" s="19">
        <v>1568</v>
      </c>
      <c r="B719" s="19" t="s">
        <v>1653</v>
      </c>
      <c r="C719" s="19" t="s">
        <v>812</v>
      </c>
      <c r="D719" s="19" t="s">
        <v>1645</v>
      </c>
      <c r="E719" s="19" t="s">
        <v>932</v>
      </c>
      <c r="F719" s="19">
        <v>0.15</v>
      </c>
      <c r="G719" s="43">
        <v>1.1599999999999999</v>
      </c>
    </row>
    <row r="720" spans="1:7" x14ac:dyDescent="0.3">
      <c r="A720" s="19">
        <v>1569</v>
      </c>
      <c r="B720" s="19" t="s">
        <v>1654</v>
      </c>
      <c r="C720" s="19" t="s">
        <v>774</v>
      </c>
      <c r="D720" s="19" t="s">
        <v>1645</v>
      </c>
      <c r="E720" s="19" t="s">
        <v>972</v>
      </c>
      <c r="F720" s="19">
        <v>0</v>
      </c>
      <c r="G720" s="43">
        <v>90.01</v>
      </c>
    </row>
    <row r="721" spans="1:7" x14ac:dyDescent="0.3">
      <c r="A721" s="19">
        <v>1570</v>
      </c>
      <c r="B721" s="19" t="s">
        <v>1655</v>
      </c>
      <c r="C721" s="19" t="s">
        <v>774</v>
      </c>
      <c r="D721" s="19" t="s">
        <v>1656</v>
      </c>
      <c r="E721" s="19" t="s">
        <v>815</v>
      </c>
      <c r="F721" s="19">
        <v>4</v>
      </c>
      <c r="G721" s="43">
        <v>524.45000000000005</v>
      </c>
    </row>
    <row r="722" spans="1:7" x14ac:dyDescent="0.3">
      <c r="A722" s="19">
        <v>1571</v>
      </c>
      <c r="B722" s="19" t="s">
        <v>1657</v>
      </c>
      <c r="C722" s="19" t="s">
        <v>774</v>
      </c>
      <c r="D722" s="19" t="s">
        <v>1658</v>
      </c>
      <c r="E722" s="19" t="s">
        <v>972</v>
      </c>
      <c r="F722" s="19">
        <v>0</v>
      </c>
      <c r="G722" s="43">
        <v>553.65</v>
      </c>
    </row>
    <row r="723" spans="1:7" x14ac:dyDescent="0.3">
      <c r="A723" s="19">
        <v>2387</v>
      </c>
      <c r="B723" s="19" t="s">
        <v>1659</v>
      </c>
      <c r="C723" s="19" t="s">
        <v>807</v>
      </c>
      <c r="D723" s="19" t="s">
        <v>1658</v>
      </c>
      <c r="E723" s="19" t="s">
        <v>972</v>
      </c>
      <c r="F723" s="19">
        <v>0</v>
      </c>
      <c r="G723" s="43">
        <v>30407.83</v>
      </c>
    </row>
    <row r="724" spans="1:7" x14ac:dyDescent="0.3">
      <c r="A724" s="19">
        <v>2388</v>
      </c>
      <c r="B724" s="19" t="s">
        <v>1660</v>
      </c>
      <c r="C724" s="19" t="s">
        <v>807</v>
      </c>
      <c r="D724" s="19" t="s">
        <v>1658</v>
      </c>
      <c r="E724" s="19" t="s">
        <v>972</v>
      </c>
      <c r="F724" s="19">
        <v>0</v>
      </c>
      <c r="G724" s="43">
        <v>30407.83</v>
      </c>
    </row>
    <row r="725" spans="1:7" x14ac:dyDescent="0.3">
      <c r="A725" s="19">
        <v>1612</v>
      </c>
      <c r="B725" s="19" t="s">
        <v>1661</v>
      </c>
      <c r="C725" s="19" t="s">
        <v>774</v>
      </c>
      <c r="D725" s="19" t="s">
        <v>1658</v>
      </c>
      <c r="E725" s="19" t="s">
        <v>972</v>
      </c>
      <c r="F725" s="19">
        <v>0</v>
      </c>
      <c r="G725" s="43">
        <v>99.64</v>
      </c>
    </row>
    <row r="726" spans="1:7" x14ac:dyDescent="0.3">
      <c r="A726" s="19">
        <v>2389</v>
      </c>
      <c r="B726" s="19" t="s">
        <v>1662</v>
      </c>
      <c r="C726" s="19" t="s">
        <v>807</v>
      </c>
      <c r="D726" s="19" t="s">
        <v>1658</v>
      </c>
      <c r="E726" s="19" t="s">
        <v>972</v>
      </c>
      <c r="F726" s="19">
        <v>0</v>
      </c>
      <c r="G726" s="43">
        <v>30407.83</v>
      </c>
    </row>
    <row r="727" spans="1:7" x14ac:dyDescent="0.3">
      <c r="A727" s="19">
        <v>396</v>
      </c>
      <c r="B727" s="19" t="s">
        <v>1663</v>
      </c>
      <c r="C727" s="19" t="s">
        <v>774</v>
      </c>
      <c r="D727" s="19" t="s">
        <v>794</v>
      </c>
      <c r="E727" s="19" t="s">
        <v>815</v>
      </c>
      <c r="F727" s="19">
        <v>0.5</v>
      </c>
      <c r="G727" s="43">
        <v>352.26</v>
      </c>
    </row>
    <row r="728" spans="1:7" x14ac:dyDescent="0.3">
      <c r="A728" s="19">
        <v>1613</v>
      </c>
      <c r="B728" s="19" t="s">
        <v>1664</v>
      </c>
      <c r="C728" s="19" t="s">
        <v>774</v>
      </c>
      <c r="D728" s="19" t="s">
        <v>1617</v>
      </c>
      <c r="E728" s="19" t="s">
        <v>815</v>
      </c>
      <c r="F728" s="19">
        <v>6</v>
      </c>
      <c r="G728" s="43">
        <v>86.43</v>
      </c>
    </row>
    <row r="729" spans="1:7" x14ac:dyDescent="0.3">
      <c r="A729" s="19">
        <v>471</v>
      </c>
      <c r="B729" s="19" t="s">
        <v>1665</v>
      </c>
      <c r="C729" s="19" t="s">
        <v>774</v>
      </c>
      <c r="D729" s="19" t="s">
        <v>1621</v>
      </c>
      <c r="E729" s="19" t="s">
        <v>815</v>
      </c>
      <c r="F729" s="19">
        <v>6</v>
      </c>
      <c r="G729" s="43">
        <v>87</v>
      </c>
    </row>
    <row r="730" spans="1:7" x14ac:dyDescent="0.3">
      <c r="A730" s="19">
        <v>2305</v>
      </c>
      <c r="B730" s="19" t="s">
        <v>1666</v>
      </c>
      <c r="C730" s="19" t="s">
        <v>774</v>
      </c>
      <c r="D730" s="19" t="s">
        <v>1667</v>
      </c>
      <c r="E730" s="19" t="s">
        <v>972</v>
      </c>
      <c r="F730" s="19">
        <v>0</v>
      </c>
      <c r="G730" s="43">
        <v>173.5</v>
      </c>
    </row>
    <row r="731" spans="1:7" x14ac:dyDescent="0.3">
      <c r="A731" s="19">
        <v>9</v>
      </c>
      <c r="B731" s="19" t="s">
        <v>1668</v>
      </c>
      <c r="C731" s="19" t="s">
        <v>774</v>
      </c>
      <c r="D731" s="19" t="s">
        <v>931</v>
      </c>
      <c r="E731" s="19" t="s">
        <v>815</v>
      </c>
      <c r="F731" s="19">
        <v>4</v>
      </c>
      <c r="G731" s="43">
        <v>222.69</v>
      </c>
    </row>
    <row r="732" spans="1:7" x14ac:dyDescent="0.3">
      <c r="A732" s="19">
        <v>1614</v>
      </c>
      <c r="B732" s="19" t="s">
        <v>1669</v>
      </c>
      <c r="C732" s="19" t="s">
        <v>774</v>
      </c>
      <c r="D732" s="19" t="s">
        <v>1670</v>
      </c>
      <c r="E732" s="19" t="s">
        <v>972</v>
      </c>
      <c r="F732" s="19">
        <v>0</v>
      </c>
      <c r="G732" s="43">
        <v>269.47000000000003</v>
      </c>
    </row>
    <row r="733" spans="1:7" x14ac:dyDescent="0.3">
      <c r="A733" s="19">
        <v>1615</v>
      </c>
      <c r="B733" s="19" t="s">
        <v>1671</v>
      </c>
      <c r="C733" s="19" t="s">
        <v>774</v>
      </c>
      <c r="D733" s="19" t="s">
        <v>1667</v>
      </c>
      <c r="E733" s="19" t="s">
        <v>815</v>
      </c>
      <c r="F733" s="19">
        <v>0</v>
      </c>
      <c r="G733" s="43">
        <v>57.5</v>
      </c>
    </row>
    <row r="734" spans="1:7" x14ac:dyDescent="0.3">
      <c r="A734" s="19">
        <v>1616</v>
      </c>
      <c r="B734" s="19" t="s">
        <v>1672</v>
      </c>
      <c r="C734" s="19" t="s">
        <v>774</v>
      </c>
      <c r="D734" s="19" t="s">
        <v>1667</v>
      </c>
      <c r="E734" s="19" t="s">
        <v>815</v>
      </c>
      <c r="F734" s="19">
        <v>0</v>
      </c>
      <c r="G734" s="43">
        <v>494.5</v>
      </c>
    </row>
    <row r="735" spans="1:7" x14ac:dyDescent="0.3">
      <c r="A735" s="19">
        <v>1617</v>
      </c>
      <c r="B735" s="19" t="s">
        <v>1673</v>
      </c>
      <c r="C735" s="19" t="s">
        <v>774</v>
      </c>
      <c r="D735" s="19" t="s">
        <v>1667</v>
      </c>
      <c r="E735" s="19" t="s">
        <v>815</v>
      </c>
      <c r="F735" s="19">
        <v>0</v>
      </c>
      <c r="G735" s="43">
        <v>98</v>
      </c>
    </row>
    <row r="736" spans="1:7" x14ac:dyDescent="0.3">
      <c r="A736" s="19">
        <v>501</v>
      </c>
      <c r="B736" s="19" t="s">
        <v>1674</v>
      </c>
      <c r="C736" s="19" t="s">
        <v>774</v>
      </c>
      <c r="D736" s="19" t="s">
        <v>1667</v>
      </c>
      <c r="E736" s="19" t="s">
        <v>815</v>
      </c>
      <c r="F736" s="19">
        <v>1</v>
      </c>
      <c r="G736" s="43">
        <v>30.5</v>
      </c>
    </row>
    <row r="737" spans="1:7" x14ac:dyDescent="0.3">
      <c r="A737" s="19">
        <v>503</v>
      </c>
      <c r="B737" s="19" t="s">
        <v>1675</v>
      </c>
      <c r="C737" s="19" t="s">
        <v>807</v>
      </c>
      <c r="D737" s="19" t="s">
        <v>1667</v>
      </c>
      <c r="E737" s="19" t="s">
        <v>815</v>
      </c>
      <c r="F737" s="19">
        <v>1</v>
      </c>
      <c r="G737" s="43">
        <v>44.5</v>
      </c>
    </row>
    <row r="738" spans="1:7" x14ac:dyDescent="0.3">
      <c r="A738" s="19">
        <v>1618</v>
      </c>
      <c r="B738" s="19" t="s">
        <v>1676</v>
      </c>
      <c r="C738" s="19" t="s">
        <v>807</v>
      </c>
      <c r="D738" s="19" t="s">
        <v>1667</v>
      </c>
      <c r="E738" s="19" t="s">
        <v>815</v>
      </c>
      <c r="F738" s="19">
        <v>1</v>
      </c>
      <c r="G738" s="43">
        <v>49</v>
      </c>
    </row>
    <row r="739" spans="1:7" x14ac:dyDescent="0.3">
      <c r="A739" s="19">
        <v>504</v>
      </c>
      <c r="B739" s="19" t="s">
        <v>1677</v>
      </c>
      <c r="C739" s="19" t="s">
        <v>774</v>
      </c>
      <c r="D739" s="19" t="s">
        <v>1667</v>
      </c>
      <c r="E739" s="19" t="s">
        <v>815</v>
      </c>
      <c r="F739" s="19">
        <v>1</v>
      </c>
      <c r="G739" s="43">
        <v>116</v>
      </c>
    </row>
    <row r="740" spans="1:7" x14ac:dyDescent="0.3">
      <c r="A740" s="19">
        <v>2309</v>
      </c>
      <c r="B740" s="19" t="s">
        <v>1678</v>
      </c>
      <c r="C740" s="19" t="s">
        <v>774</v>
      </c>
      <c r="D740" s="19" t="s">
        <v>1667</v>
      </c>
      <c r="E740" s="19" t="s">
        <v>815</v>
      </c>
      <c r="F740" s="19">
        <v>1</v>
      </c>
      <c r="G740" s="43">
        <v>44</v>
      </c>
    </row>
    <row r="741" spans="1:7" x14ac:dyDescent="0.3">
      <c r="A741" s="19">
        <v>1628</v>
      </c>
      <c r="B741" s="19" t="s">
        <v>1679</v>
      </c>
      <c r="C741" s="19" t="s">
        <v>774</v>
      </c>
      <c r="D741" s="19" t="s">
        <v>1667</v>
      </c>
      <c r="E741" s="19" t="s">
        <v>815</v>
      </c>
      <c r="F741" s="19">
        <v>1</v>
      </c>
      <c r="G741" s="43">
        <v>55.3</v>
      </c>
    </row>
    <row r="742" spans="1:7" x14ac:dyDescent="0.3">
      <c r="A742" s="19">
        <v>1375</v>
      </c>
      <c r="B742" s="19" t="s">
        <v>1680</v>
      </c>
      <c r="C742" s="19" t="s">
        <v>807</v>
      </c>
      <c r="D742" s="19" t="s">
        <v>1667</v>
      </c>
      <c r="E742" s="19" t="s">
        <v>972</v>
      </c>
      <c r="F742" s="19">
        <v>1</v>
      </c>
      <c r="G742" s="43">
        <v>33.200000000000003</v>
      </c>
    </row>
    <row r="743" spans="1:7" x14ac:dyDescent="0.3">
      <c r="A743" s="19">
        <v>1766</v>
      </c>
      <c r="B743" s="19" t="s">
        <v>1681</v>
      </c>
      <c r="C743" s="19" t="s">
        <v>774</v>
      </c>
      <c r="D743" s="19" t="s">
        <v>1667</v>
      </c>
      <c r="E743" s="19" t="s">
        <v>815</v>
      </c>
      <c r="F743" s="19">
        <v>1</v>
      </c>
      <c r="G743" s="43">
        <v>40.1</v>
      </c>
    </row>
    <row r="744" spans="1:7" x14ac:dyDescent="0.3">
      <c r="A744" s="19">
        <v>497</v>
      </c>
      <c r="B744" s="19" t="s">
        <v>1682</v>
      </c>
      <c r="C744" s="19" t="s">
        <v>774</v>
      </c>
      <c r="D744" s="19" t="s">
        <v>1667</v>
      </c>
      <c r="E744" s="19" t="s">
        <v>815</v>
      </c>
      <c r="F744" s="19">
        <v>1</v>
      </c>
      <c r="G744" s="43">
        <v>40.1</v>
      </c>
    </row>
    <row r="745" spans="1:7" x14ac:dyDescent="0.3">
      <c r="A745" s="19">
        <v>2313</v>
      </c>
      <c r="B745" s="19" t="s">
        <v>1683</v>
      </c>
      <c r="C745" s="19" t="s">
        <v>774</v>
      </c>
      <c r="D745" s="19" t="s">
        <v>1667</v>
      </c>
      <c r="E745" s="19" t="s">
        <v>815</v>
      </c>
      <c r="F745" s="19">
        <v>1</v>
      </c>
      <c r="G745" s="43">
        <v>35.9</v>
      </c>
    </row>
    <row r="746" spans="1:7" x14ac:dyDescent="0.3">
      <c r="A746" s="19">
        <v>502</v>
      </c>
      <c r="B746" s="19" t="s">
        <v>1684</v>
      </c>
      <c r="C746" s="19" t="s">
        <v>774</v>
      </c>
      <c r="D746" s="19" t="s">
        <v>1667</v>
      </c>
      <c r="E746" s="19" t="s">
        <v>815</v>
      </c>
      <c r="F746" s="19">
        <v>1</v>
      </c>
      <c r="G746" s="43">
        <v>44</v>
      </c>
    </row>
    <row r="747" spans="1:7" x14ac:dyDescent="0.3">
      <c r="A747" s="19">
        <v>3818</v>
      </c>
      <c r="B747" s="19" t="s">
        <v>1685</v>
      </c>
      <c r="C747" s="19" t="s">
        <v>774</v>
      </c>
      <c r="D747" s="19" t="s">
        <v>1667</v>
      </c>
      <c r="E747" s="19" t="s">
        <v>815</v>
      </c>
      <c r="F747" s="19">
        <v>1</v>
      </c>
      <c r="G747" s="43">
        <v>150.69999999999999</v>
      </c>
    </row>
    <row r="748" spans="1:7" x14ac:dyDescent="0.3">
      <c r="A748" s="19">
        <v>2317</v>
      </c>
      <c r="B748" s="19" t="s">
        <v>1686</v>
      </c>
      <c r="C748" s="19" t="s">
        <v>774</v>
      </c>
      <c r="D748" s="19" t="s">
        <v>1667</v>
      </c>
      <c r="E748" s="19" t="s">
        <v>815</v>
      </c>
      <c r="F748" s="19">
        <v>1</v>
      </c>
      <c r="G748" s="43">
        <v>41.3</v>
      </c>
    </row>
    <row r="749" spans="1:7" x14ac:dyDescent="0.3">
      <c r="A749" s="19">
        <v>500</v>
      </c>
      <c r="B749" s="19" t="s">
        <v>1687</v>
      </c>
      <c r="C749" s="19" t="s">
        <v>807</v>
      </c>
      <c r="D749" s="19" t="s">
        <v>1667</v>
      </c>
      <c r="E749" s="19" t="s">
        <v>815</v>
      </c>
      <c r="F749" s="19">
        <v>1</v>
      </c>
      <c r="G749" s="43">
        <v>526</v>
      </c>
    </row>
    <row r="750" spans="1:7" x14ac:dyDescent="0.3">
      <c r="A750" s="19">
        <v>498</v>
      </c>
      <c r="B750" s="19" t="s">
        <v>1688</v>
      </c>
      <c r="C750" s="19" t="s">
        <v>807</v>
      </c>
      <c r="D750" s="19" t="s">
        <v>1667</v>
      </c>
      <c r="E750" s="19" t="s">
        <v>815</v>
      </c>
      <c r="F750" s="19">
        <v>1</v>
      </c>
      <c r="G750" s="43">
        <v>91.3</v>
      </c>
    </row>
    <row r="751" spans="1:7" x14ac:dyDescent="0.3">
      <c r="A751" s="19">
        <v>1908</v>
      </c>
      <c r="B751" s="19" t="s">
        <v>1689</v>
      </c>
      <c r="C751" s="19" t="s">
        <v>774</v>
      </c>
      <c r="D751" s="19" t="s">
        <v>1667</v>
      </c>
      <c r="E751" s="19" t="s">
        <v>815</v>
      </c>
      <c r="F751" s="19">
        <v>1</v>
      </c>
      <c r="G751" s="43">
        <v>41.3</v>
      </c>
    </row>
    <row r="752" spans="1:7" x14ac:dyDescent="0.3">
      <c r="A752" s="19">
        <v>3871</v>
      </c>
      <c r="B752" s="19" t="s">
        <v>1690</v>
      </c>
      <c r="C752" s="19" t="s">
        <v>774</v>
      </c>
      <c r="D752" s="19" t="s">
        <v>1691</v>
      </c>
      <c r="E752" s="19" t="s">
        <v>815</v>
      </c>
      <c r="F752" s="19">
        <v>0</v>
      </c>
      <c r="G752" s="43">
        <v>113</v>
      </c>
    </row>
    <row r="753" spans="1:7" x14ac:dyDescent="0.3">
      <c r="A753" s="19">
        <v>3859</v>
      </c>
      <c r="B753" s="19" t="s">
        <v>1692</v>
      </c>
      <c r="C753" s="19" t="s">
        <v>774</v>
      </c>
      <c r="D753" s="19" t="s">
        <v>1691</v>
      </c>
      <c r="E753" s="19" t="s">
        <v>815</v>
      </c>
      <c r="F753" s="19">
        <v>0</v>
      </c>
      <c r="G753" s="43">
        <v>113</v>
      </c>
    </row>
    <row r="754" spans="1:7" x14ac:dyDescent="0.3">
      <c r="A754" s="19">
        <v>3864</v>
      </c>
      <c r="B754" s="19" t="s">
        <v>1693</v>
      </c>
      <c r="C754" s="19" t="s">
        <v>774</v>
      </c>
      <c r="D754" s="19" t="s">
        <v>1691</v>
      </c>
      <c r="E754" s="19" t="s">
        <v>815</v>
      </c>
      <c r="F754" s="19">
        <v>0</v>
      </c>
      <c r="G754" s="43">
        <v>113</v>
      </c>
    </row>
    <row r="755" spans="1:7" x14ac:dyDescent="0.3">
      <c r="A755" s="19">
        <v>3854</v>
      </c>
      <c r="B755" s="19" t="s">
        <v>1694</v>
      </c>
      <c r="C755" s="19" t="s">
        <v>774</v>
      </c>
      <c r="D755" s="19" t="s">
        <v>1691</v>
      </c>
      <c r="E755" s="19" t="s">
        <v>815</v>
      </c>
      <c r="F755" s="19">
        <v>0</v>
      </c>
      <c r="G755" s="43">
        <v>113</v>
      </c>
    </row>
    <row r="756" spans="1:7" x14ac:dyDescent="0.3">
      <c r="A756" s="19">
        <v>3868</v>
      </c>
      <c r="B756" s="19" t="s">
        <v>1695</v>
      </c>
      <c r="C756" s="19" t="s">
        <v>774</v>
      </c>
      <c r="D756" s="19" t="s">
        <v>1691</v>
      </c>
      <c r="E756" s="19" t="s">
        <v>815</v>
      </c>
      <c r="F756" s="19">
        <v>0</v>
      </c>
      <c r="G756" s="43">
        <v>113</v>
      </c>
    </row>
    <row r="757" spans="1:7" x14ac:dyDescent="0.3">
      <c r="A757" s="19">
        <v>3867</v>
      </c>
      <c r="B757" s="19" t="s">
        <v>1696</v>
      </c>
      <c r="C757" s="19" t="s">
        <v>774</v>
      </c>
      <c r="D757" s="19" t="s">
        <v>1691</v>
      </c>
      <c r="E757" s="19" t="s">
        <v>815</v>
      </c>
      <c r="F757" s="19">
        <v>0</v>
      </c>
      <c r="G757" s="43">
        <v>113</v>
      </c>
    </row>
    <row r="758" spans="1:7" x14ac:dyDescent="0.3">
      <c r="A758" s="19">
        <v>3861</v>
      </c>
      <c r="B758" s="19" t="s">
        <v>1697</v>
      </c>
      <c r="C758" s="19" t="s">
        <v>774</v>
      </c>
      <c r="D758" s="19" t="s">
        <v>1691</v>
      </c>
      <c r="E758" s="19" t="s">
        <v>815</v>
      </c>
      <c r="F758" s="19">
        <v>0</v>
      </c>
      <c r="G758" s="43">
        <v>113</v>
      </c>
    </row>
    <row r="759" spans="1:7" x14ac:dyDescent="0.3">
      <c r="A759" s="19">
        <v>3856</v>
      </c>
      <c r="B759" s="19" t="s">
        <v>1698</v>
      </c>
      <c r="C759" s="19" t="s">
        <v>774</v>
      </c>
      <c r="D759" s="19" t="s">
        <v>1691</v>
      </c>
      <c r="E759" s="19" t="s">
        <v>815</v>
      </c>
      <c r="F759" s="19">
        <v>0</v>
      </c>
      <c r="G759" s="43">
        <v>113</v>
      </c>
    </row>
    <row r="760" spans="1:7" x14ac:dyDescent="0.3">
      <c r="A760" s="19">
        <v>3863</v>
      </c>
      <c r="B760" s="19" t="s">
        <v>1699</v>
      </c>
      <c r="C760" s="19" t="s">
        <v>774</v>
      </c>
      <c r="D760" s="19" t="s">
        <v>1691</v>
      </c>
      <c r="E760" s="19" t="s">
        <v>815</v>
      </c>
      <c r="F760" s="19">
        <v>0</v>
      </c>
      <c r="G760" s="43">
        <v>113</v>
      </c>
    </row>
    <row r="761" spans="1:7" x14ac:dyDescent="0.3">
      <c r="A761" s="19">
        <v>3858</v>
      </c>
      <c r="B761" s="19" t="s">
        <v>1700</v>
      </c>
      <c r="C761" s="19" t="s">
        <v>774</v>
      </c>
      <c r="D761" s="19" t="s">
        <v>1691</v>
      </c>
      <c r="E761" s="19" t="s">
        <v>815</v>
      </c>
      <c r="F761" s="19">
        <v>0</v>
      </c>
      <c r="G761" s="43">
        <v>113</v>
      </c>
    </row>
    <row r="762" spans="1:7" x14ac:dyDescent="0.3">
      <c r="A762" s="19">
        <v>3865</v>
      </c>
      <c r="B762" s="19" t="s">
        <v>1701</v>
      </c>
      <c r="C762" s="19" t="s">
        <v>774</v>
      </c>
      <c r="D762" s="19" t="s">
        <v>1691</v>
      </c>
      <c r="E762" s="19" t="s">
        <v>815</v>
      </c>
      <c r="F762" s="19">
        <v>0</v>
      </c>
      <c r="G762" s="43">
        <v>113</v>
      </c>
    </row>
    <row r="763" spans="1:7" x14ac:dyDescent="0.3">
      <c r="A763" s="19">
        <v>3855</v>
      </c>
      <c r="B763" s="19" t="s">
        <v>1702</v>
      </c>
      <c r="C763" s="19" t="s">
        <v>774</v>
      </c>
      <c r="D763" s="19" t="s">
        <v>1691</v>
      </c>
      <c r="E763" s="19" t="s">
        <v>815</v>
      </c>
      <c r="F763" s="19">
        <v>0</v>
      </c>
      <c r="G763" s="43">
        <v>113</v>
      </c>
    </row>
    <row r="764" spans="1:7" x14ac:dyDescent="0.3">
      <c r="A764" s="19">
        <v>3872</v>
      </c>
      <c r="B764" s="19" t="s">
        <v>1703</v>
      </c>
      <c r="C764" s="19" t="s">
        <v>774</v>
      </c>
      <c r="D764" s="19" t="s">
        <v>1691</v>
      </c>
      <c r="E764" s="19" t="s">
        <v>815</v>
      </c>
      <c r="F764" s="19">
        <v>0</v>
      </c>
      <c r="G764" s="43">
        <v>113</v>
      </c>
    </row>
    <row r="765" spans="1:7" x14ac:dyDescent="0.3">
      <c r="A765" s="19">
        <v>3870</v>
      </c>
      <c r="B765" s="19" t="s">
        <v>1704</v>
      </c>
      <c r="C765" s="19" t="s">
        <v>774</v>
      </c>
      <c r="D765" s="19" t="s">
        <v>1691</v>
      </c>
      <c r="E765" s="19" t="s">
        <v>815</v>
      </c>
      <c r="F765" s="19">
        <v>0</v>
      </c>
      <c r="G765" s="43">
        <v>113</v>
      </c>
    </row>
    <row r="766" spans="1:7" x14ac:dyDescent="0.3">
      <c r="A766" s="19">
        <v>3857</v>
      </c>
      <c r="B766" s="19" t="s">
        <v>1705</v>
      </c>
      <c r="C766" s="19" t="s">
        <v>774</v>
      </c>
      <c r="D766" s="19" t="s">
        <v>1691</v>
      </c>
      <c r="E766" s="19" t="s">
        <v>815</v>
      </c>
      <c r="F766" s="19">
        <v>0</v>
      </c>
      <c r="G766" s="43">
        <v>113</v>
      </c>
    </row>
    <row r="767" spans="1:7" x14ac:dyDescent="0.3">
      <c r="A767" s="19">
        <v>3866</v>
      </c>
      <c r="B767" s="19" t="s">
        <v>1706</v>
      </c>
      <c r="C767" s="19" t="s">
        <v>774</v>
      </c>
      <c r="D767" s="19" t="s">
        <v>1691</v>
      </c>
      <c r="E767" s="19" t="s">
        <v>815</v>
      </c>
      <c r="F767" s="19">
        <v>0</v>
      </c>
      <c r="G767" s="43">
        <v>113</v>
      </c>
    </row>
    <row r="768" spans="1:7" x14ac:dyDescent="0.3">
      <c r="A768" s="19">
        <v>3860</v>
      </c>
      <c r="B768" s="19" t="s">
        <v>1707</v>
      </c>
      <c r="C768" s="19" t="s">
        <v>774</v>
      </c>
      <c r="D768" s="19" t="s">
        <v>1691</v>
      </c>
      <c r="E768" s="19" t="s">
        <v>815</v>
      </c>
      <c r="F768" s="19">
        <v>0</v>
      </c>
      <c r="G768" s="43">
        <v>113</v>
      </c>
    </row>
    <row r="769" spans="1:7" x14ac:dyDescent="0.3">
      <c r="A769" s="19">
        <v>3862</v>
      </c>
      <c r="B769" s="19" t="s">
        <v>1708</v>
      </c>
      <c r="C769" s="19" t="s">
        <v>774</v>
      </c>
      <c r="D769" s="19" t="s">
        <v>1691</v>
      </c>
      <c r="E769" s="19" t="s">
        <v>815</v>
      </c>
      <c r="F769" s="19">
        <v>0</v>
      </c>
      <c r="G769" s="43">
        <v>113</v>
      </c>
    </row>
    <row r="770" spans="1:7" x14ac:dyDescent="0.3">
      <c r="A770" s="19">
        <v>3869</v>
      </c>
      <c r="B770" s="19" t="s">
        <v>1709</v>
      </c>
      <c r="C770" s="19" t="s">
        <v>774</v>
      </c>
      <c r="D770" s="19" t="s">
        <v>1691</v>
      </c>
      <c r="E770" s="19" t="s">
        <v>815</v>
      </c>
      <c r="F770" s="19">
        <v>0</v>
      </c>
      <c r="G770" s="43">
        <v>113</v>
      </c>
    </row>
    <row r="771" spans="1:7" x14ac:dyDescent="0.3">
      <c r="A771" s="19">
        <v>1631</v>
      </c>
      <c r="B771" s="19" t="s">
        <v>1710</v>
      </c>
      <c r="C771" s="19" t="s">
        <v>774</v>
      </c>
      <c r="D771" s="19" t="s">
        <v>1711</v>
      </c>
      <c r="E771" s="19" t="s">
        <v>972</v>
      </c>
      <c r="F771" s="19">
        <v>0</v>
      </c>
      <c r="G771" s="43">
        <v>5150</v>
      </c>
    </row>
    <row r="772" spans="1:7" x14ac:dyDescent="0.3">
      <c r="A772" s="19">
        <v>1909</v>
      </c>
      <c r="B772" s="19" t="s">
        <v>1712</v>
      </c>
      <c r="C772" s="19" t="s">
        <v>774</v>
      </c>
      <c r="D772" s="19" t="s">
        <v>1576</v>
      </c>
      <c r="E772" s="19" t="s">
        <v>815</v>
      </c>
      <c r="F772" s="19">
        <v>1</v>
      </c>
      <c r="G772" s="43">
        <v>95.55</v>
      </c>
    </row>
    <row r="773" spans="1:7" x14ac:dyDescent="0.3">
      <c r="A773" s="19">
        <v>1901</v>
      </c>
      <c r="B773" s="19" t="s">
        <v>1713</v>
      </c>
      <c r="C773" s="19" t="s">
        <v>1242</v>
      </c>
      <c r="D773" s="19" t="s">
        <v>1599</v>
      </c>
      <c r="E773" s="19" t="s">
        <v>815</v>
      </c>
      <c r="F773" s="19">
        <v>0.5</v>
      </c>
      <c r="G773" s="43">
        <v>490</v>
      </c>
    </row>
    <row r="774" spans="1:7" x14ac:dyDescent="0.3">
      <c r="A774" s="19">
        <v>3965</v>
      </c>
      <c r="B774" s="19" t="s">
        <v>1714</v>
      </c>
      <c r="C774" s="19" t="s">
        <v>774</v>
      </c>
      <c r="D774" s="19" t="s">
        <v>1570</v>
      </c>
      <c r="E774" s="19" t="s">
        <v>815</v>
      </c>
      <c r="F774" s="19">
        <v>0.5</v>
      </c>
      <c r="G774" s="43">
        <v>490</v>
      </c>
    </row>
    <row r="775" spans="1:7" x14ac:dyDescent="0.3">
      <c r="A775" s="19">
        <v>2476</v>
      </c>
      <c r="B775" s="19" t="s">
        <v>1715</v>
      </c>
      <c r="C775" s="19" t="s">
        <v>774</v>
      </c>
      <c r="D775" s="19" t="s">
        <v>1599</v>
      </c>
      <c r="E775" s="19" t="s">
        <v>815</v>
      </c>
      <c r="F775" s="19">
        <v>0</v>
      </c>
      <c r="G775" s="43">
        <v>114.51</v>
      </c>
    </row>
    <row r="776" spans="1:7" x14ac:dyDescent="0.3">
      <c r="A776" s="19">
        <v>470</v>
      </c>
      <c r="B776" s="19" t="s">
        <v>1716</v>
      </c>
      <c r="C776" s="19" t="s">
        <v>774</v>
      </c>
      <c r="D776" s="19" t="s">
        <v>1717</v>
      </c>
      <c r="E776" s="19" t="s">
        <v>815</v>
      </c>
      <c r="F776" s="19">
        <v>4</v>
      </c>
      <c r="G776" s="43">
        <v>14.5</v>
      </c>
    </row>
    <row r="777" spans="1:7" x14ac:dyDescent="0.3">
      <c r="A777" s="19">
        <v>1905</v>
      </c>
      <c r="B777" s="19" t="s">
        <v>1718</v>
      </c>
      <c r="C777" s="19" t="s">
        <v>774</v>
      </c>
      <c r="D777" s="19" t="s">
        <v>964</v>
      </c>
      <c r="E777" s="19" t="s">
        <v>815</v>
      </c>
      <c r="F777" s="19">
        <v>1</v>
      </c>
      <c r="G777" s="43">
        <v>25.49</v>
      </c>
    </row>
    <row r="778" spans="1:7" x14ac:dyDescent="0.3">
      <c r="A778" s="19">
        <v>2475</v>
      </c>
      <c r="B778" s="19" t="s">
        <v>1719</v>
      </c>
      <c r="C778" s="19" t="s">
        <v>774</v>
      </c>
      <c r="D778" s="19" t="s">
        <v>964</v>
      </c>
      <c r="E778" s="19" t="s">
        <v>815</v>
      </c>
      <c r="F778" s="19">
        <v>0</v>
      </c>
      <c r="G778" s="43">
        <v>22.78</v>
      </c>
    </row>
    <row r="779" spans="1:7" x14ac:dyDescent="0.3">
      <c r="A779" s="19">
        <v>2461</v>
      </c>
      <c r="B779" s="19" t="s">
        <v>1720</v>
      </c>
      <c r="C779" s="19" t="s">
        <v>774</v>
      </c>
      <c r="D779" s="19" t="s">
        <v>1570</v>
      </c>
      <c r="E779" s="19" t="s">
        <v>815</v>
      </c>
      <c r="F779" s="19">
        <v>0</v>
      </c>
      <c r="G779" s="43">
        <v>59.62</v>
      </c>
    </row>
    <row r="780" spans="1:7" x14ac:dyDescent="0.3">
      <c r="A780" s="19">
        <v>1902</v>
      </c>
      <c r="B780" s="19" t="s">
        <v>1721</v>
      </c>
      <c r="C780" s="19" t="s">
        <v>774</v>
      </c>
      <c r="D780" s="19" t="s">
        <v>1574</v>
      </c>
      <c r="E780" s="19" t="s">
        <v>815</v>
      </c>
      <c r="F780" s="19">
        <v>1</v>
      </c>
      <c r="G780" s="43">
        <v>283.67</v>
      </c>
    </row>
    <row r="781" spans="1:7" x14ac:dyDescent="0.3">
      <c r="A781" s="19">
        <v>488</v>
      </c>
      <c r="B781" s="19" t="s">
        <v>1722</v>
      </c>
      <c r="C781" s="19" t="s">
        <v>774</v>
      </c>
      <c r="D781" s="19" t="s">
        <v>1652</v>
      </c>
      <c r="E781" s="19" t="s">
        <v>815</v>
      </c>
      <c r="F781" s="19">
        <v>5</v>
      </c>
      <c r="G781" s="43">
        <v>334.47</v>
      </c>
    </row>
    <row r="782" spans="1:7" x14ac:dyDescent="0.3">
      <c r="A782" s="19">
        <v>3050</v>
      </c>
      <c r="B782" s="19" t="s">
        <v>1723</v>
      </c>
      <c r="C782" s="19" t="s">
        <v>774</v>
      </c>
      <c r="D782" s="19" t="s">
        <v>1628</v>
      </c>
      <c r="E782" s="19" t="s">
        <v>815</v>
      </c>
      <c r="F782" s="19">
        <v>1</v>
      </c>
      <c r="G782" s="43">
        <v>25</v>
      </c>
    </row>
    <row r="783" spans="1:7" x14ac:dyDescent="0.3">
      <c r="A783" s="19">
        <v>3713</v>
      </c>
      <c r="B783" s="19" t="s">
        <v>1724</v>
      </c>
      <c r="C783" s="19" t="s">
        <v>774</v>
      </c>
      <c r="D783" s="19" t="s">
        <v>1628</v>
      </c>
      <c r="E783" s="19" t="s">
        <v>815</v>
      </c>
      <c r="F783" s="19">
        <v>1</v>
      </c>
      <c r="G783" s="43">
        <v>25</v>
      </c>
    </row>
    <row r="784" spans="1:7" x14ac:dyDescent="0.3">
      <c r="A784" s="19">
        <v>529</v>
      </c>
      <c r="B784" s="19" t="s">
        <v>1725</v>
      </c>
      <c r="C784" s="19" t="s">
        <v>774</v>
      </c>
      <c r="D784" s="19" t="s">
        <v>1726</v>
      </c>
      <c r="E784" s="19" t="s">
        <v>815</v>
      </c>
      <c r="F784" s="19">
        <v>25</v>
      </c>
      <c r="G784" s="43">
        <v>99.09</v>
      </c>
    </row>
    <row r="785" spans="1:7" x14ac:dyDescent="0.3">
      <c r="A785" s="19">
        <v>3935</v>
      </c>
      <c r="B785" s="19" t="s">
        <v>1727</v>
      </c>
      <c r="C785" s="19" t="s">
        <v>774</v>
      </c>
      <c r="D785" s="19" t="s">
        <v>1570</v>
      </c>
      <c r="E785" s="19" t="s">
        <v>815</v>
      </c>
      <c r="F785" s="19">
        <v>0</v>
      </c>
      <c r="G785" s="43">
        <v>57.65</v>
      </c>
    </row>
    <row r="786" spans="1:7" x14ac:dyDescent="0.3">
      <c r="A786" s="19">
        <v>2465</v>
      </c>
      <c r="B786" s="19" t="s">
        <v>1728</v>
      </c>
      <c r="C786" s="19" t="s">
        <v>774</v>
      </c>
      <c r="D786" s="19" t="s">
        <v>1590</v>
      </c>
      <c r="E786" s="19" t="s">
        <v>815</v>
      </c>
      <c r="F786" s="19">
        <v>0</v>
      </c>
      <c r="G786" s="43">
        <v>2187.9899999999998</v>
      </c>
    </row>
    <row r="787" spans="1:7" x14ac:dyDescent="0.3">
      <c r="A787" s="19">
        <v>1345</v>
      </c>
      <c r="B787" s="19" t="s">
        <v>1729</v>
      </c>
      <c r="C787" s="19" t="s">
        <v>774</v>
      </c>
      <c r="D787" s="19" t="s">
        <v>1726</v>
      </c>
      <c r="E787" s="19" t="s">
        <v>815</v>
      </c>
      <c r="F787" s="19">
        <v>1</v>
      </c>
      <c r="G787" s="43">
        <v>1649.35</v>
      </c>
    </row>
    <row r="788" spans="1:7" x14ac:dyDescent="0.3">
      <c r="A788" s="19">
        <v>2319</v>
      </c>
      <c r="B788" s="19" t="s">
        <v>1730</v>
      </c>
      <c r="C788" s="19" t="s">
        <v>774</v>
      </c>
      <c r="D788" s="19" t="s">
        <v>1570</v>
      </c>
      <c r="E788" s="19" t="s">
        <v>815</v>
      </c>
      <c r="F788" s="19">
        <v>1</v>
      </c>
      <c r="G788" s="43">
        <v>130</v>
      </c>
    </row>
    <row r="789" spans="1:7" x14ac:dyDescent="0.3">
      <c r="A789" s="19">
        <v>1898</v>
      </c>
      <c r="B789" s="19" t="s">
        <v>1731</v>
      </c>
      <c r="C789" s="19" t="s">
        <v>774</v>
      </c>
      <c r="D789" s="19" t="s">
        <v>1574</v>
      </c>
      <c r="E789" s="19" t="s">
        <v>815</v>
      </c>
      <c r="F789" s="19">
        <v>0.5</v>
      </c>
      <c r="G789" s="43">
        <v>847</v>
      </c>
    </row>
    <row r="790" spans="1:7" x14ac:dyDescent="0.3">
      <c r="A790" s="19">
        <v>1565</v>
      </c>
      <c r="B790" s="19" t="s">
        <v>1732</v>
      </c>
      <c r="C790" s="19" t="s">
        <v>774</v>
      </c>
      <c r="D790" s="19" t="s">
        <v>1733</v>
      </c>
      <c r="E790" s="19" t="s">
        <v>815</v>
      </c>
      <c r="F790" s="19">
        <v>5</v>
      </c>
      <c r="G790" s="43">
        <v>197.99</v>
      </c>
    </row>
    <row r="791" spans="1:7" x14ac:dyDescent="0.3">
      <c r="A791" s="19">
        <v>2460</v>
      </c>
      <c r="B791" s="19" t="s">
        <v>1734</v>
      </c>
      <c r="C791" s="19" t="s">
        <v>774</v>
      </c>
      <c r="D791" s="19" t="s">
        <v>1735</v>
      </c>
      <c r="E791" s="19" t="s">
        <v>815</v>
      </c>
      <c r="F791" s="19">
        <v>0</v>
      </c>
      <c r="G791" s="43">
        <v>289.14999999999998</v>
      </c>
    </row>
    <row r="792" spans="1:7" x14ac:dyDescent="0.3">
      <c r="A792" s="19">
        <v>1574</v>
      </c>
      <c r="B792" s="19" t="s">
        <v>1736</v>
      </c>
      <c r="C792" s="19" t="s">
        <v>774</v>
      </c>
      <c r="D792" s="19" t="s">
        <v>1658</v>
      </c>
      <c r="E792" s="19" t="s">
        <v>972</v>
      </c>
      <c r="F792" s="19">
        <v>0</v>
      </c>
      <c r="G792" s="43">
        <v>140.35</v>
      </c>
    </row>
    <row r="793" spans="1:7" x14ac:dyDescent="0.3">
      <c r="A793" s="19">
        <v>2455</v>
      </c>
      <c r="B793" s="19" t="s">
        <v>1737</v>
      </c>
      <c r="C793" s="19" t="s">
        <v>774</v>
      </c>
      <c r="D793" s="19" t="s">
        <v>854</v>
      </c>
      <c r="E793" s="19" t="s">
        <v>815</v>
      </c>
      <c r="F793" s="19">
        <v>0</v>
      </c>
      <c r="G793" s="43">
        <v>0</v>
      </c>
    </row>
    <row r="794" spans="1:7" x14ac:dyDescent="0.3">
      <c r="A794" s="19">
        <v>66</v>
      </c>
      <c r="B794" s="19" t="s">
        <v>1738</v>
      </c>
      <c r="C794" s="19" t="s">
        <v>774</v>
      </c>
      <c r="D794" s="19" t="s">
        <v>966</v>
      </c>
      <c r="E794" s="19" t="s">
        <v>815</v>
      </c>
      <c r="F794" s="19">
        <v>25</v>
      </c>
      <c r="G794" s="43">
        <v>230</v>
      </c>
    </row>
    <row r="795" spans="1:7" x14ac:dyDescent="0.3">
      <c r="A795" s="19">
        <v>2466</v>
      </c>
      <c r="B795" s="19" t="s">
        <v>1739</v>
      </c>
      <c r="C795" s="19" t="s">
        <v>774</v>
      </c>
      <c r="D795" s="19" t="s">
        <v>1590</v>
      </c>
      <c r="E795" s="19" t="s">
        <v>815</v>
      </c>
      <c r="F795" s="19">
        <v>0</v>
      </c>
      <c r="G795" s="43">
        <v>157.02000000000001</v>
      </c>
    </row>
    <row r="796" spans="1:7" x14ac:dyDescent="0.3">
      <c r="A796" s="19">
        <v>1903</v>
      </c>
      <c r="B796" s="19" t="s">
        <v>1740</v>
      </c>
      <c r="C796" s="19" t="s">
        <v>774</v>
      </c>
      <c r="D796" s="19" t="s">
        <v>794</v>
      </c>
      <c r="E796" s="19" t="s">
        <v>815</v>
      </c>
      <c r="F796" s="19">
        <v>0.5</v>
      </c>
      <c r="G796" s="43">
        <v>444.15</v>
      </c>
    </row>
    <row r="797" spans="1:7" x14ac:dyDescent="0.3">
      <c r="A797" s="19">
        <v>2467</v>
      </c>
      <c r="B797" s="19" t="s">
        <v>1741</v>
      </c>
      <c r="C797" s="19" t="s">
        <v>774</v>
      </c>
      <c r="D797" s="19" t="s">
        <v>1590</v>
      </c>
      <c r="E797" s="19" t="s">
        <v>815</v>
      </c>
      <c r="F797" s="19">
        <v>0</v>
      </c>
      <c r="G797" s="43">
        <v>151.13999999999999</v>
      </c>
    </row>
    <row r="798" spans="1:7" x14ac:dyDescent="0.3">
      <c r="A798" s="19">
        <v>494</v>
      </c>
      <c r="B798" s="19" t="s">
        <v>1742</v>
      </c>
      <c r="C798" s="19" t="s">
        <v>774</v>
      </c>
      <c r="D798" s="19" t="s">
        <v>1587</v>
      </c>
      <c r="E798" s="19" t="s">
        <v>815</v>
      </c>
      <c r="F798" s="19">
        <v>42</v>
      </c>
      <c r="G798" s="43">
        <v>33.979999999999997</v>
      </c>
    </row>
    <row r="799" spans="1:7" x14ac:dyDescent="0.3">
      <c r="A799" s="19">
        <v>487</v>
      </c>
      <c r="B799" s="19" t="s">
        <v>1743</v>
      </c>
      <c r="C799" s="19" t="s">
        <v>774</v>
      </c>
      <c r="D799" s="19" t="s">
        <v>1576</v>
      </c>
      <c r="E799" s="19" t="s">
        <v>815</v>
      </c>
      <c r="F799" s="19">
        <v>1</v>
      </c>
      <c r="G799" s="43">
        <v>62</v>
      </c>
    </row>
    <row r="800" spans="1:7" x14ac:dyDescent="0.3">
      <c r="A800" s="19">
        <v>1906</v>
      </c>
      <c r="B800" s="19" t="s">
        <v>1744</v>
      </c>
      <c r="C800" s="19" t="s">
        <v>774</v>
      </c>
      <c r="D800" s="19" t="s">
        <v>1594</v>
      </c>
      <c r="E800" s="19" t="s">
        <v>815</v>
      </c>
      <c r="F800" s="19">
        <v>0.1</v>
      </c>
      <c r="G800" s="43">
        <v>4730</v>
      </c>
    </row>
    <row r="801" spans="1:7" x14ac:dyDescent="0.3">
      <c r="A801" s="19">
        <v>1893</v>
      </c>
      <c r="B801" s="19" t="s">
        <v>1745</v>
      </c>
      <c r="C801" s="19" t="s">
        <v>812</v>
      </c>
      <c r="D801" s="19" t="s">
        <v>1746</v>
      </c>
      <c r="E801" s="19" t="s">
        <v>972</v>
      </c>
      <c r="F801" s="19">
        <v>0</v>
      </c>
      <c r="G801" s="43">
        <v>625</v>
      </c>
    </row>
    <row r="802" spans="1:7" x14ac:dyDescent="0.3">
      <c r="A802" s="19">
        <v>3961</v>
      </c>
      <c r="B802" s="19" t="s">
        <v>1747</v>
      </c>
      <c r="C802" s="19" t="s">
        <v>774</v>
      </c>
      <c r="D802" s="19" t="s">
        <v>1574</v>
      </c>
      <c r="E802" s="19" t="s">
        <v>815</v>
      </c>
      <c r="F802" s="19">
        <v>0.1</v>
      </c>
      <c r="G802" s="43">
        <v>184.3</v>
      </c>
    </row>
    <row r="803" spans="1:7" x14ac:dyDescent="0.3">
      <c r="A803" s="19">
        <v>1911</v>
      </c>
      <c r="B803" s="19" t="s">
        <v>1748</v>
      </c>
      <c r="C803" s="19" t="s">
        <v>774</v>
      </c>
      <c r="D803" s="19" t="s">
        <v>1628</v>
      </c>
      <c r="E803" s="19" t="s">
        <v>815</v>
      </c>
      <c r="F803" s="19">
        <v>0</v>
      </c>
      <c r="G803" s="43">
        <v>49</v>
      </c>
    </row>
    <row r="804" spans="1:7" x14ac:dyDescent="0.3">
      <c r="A804" s="19">
        <v>490</v>
      </c>
      <c r="B804" s="19" t="s">
        <v>1749</v>
      </c>
      <c r="C804" s="19" t="s">
        <v>774</v>
      </c>
      <c r="D804" s="19" t="s">
        <v>1750</v>
      </c>
      <c r="E804" s="19" t="s">
        <v>815</v>
      </c>
      <c r="F804" s="19">
        <v>40</v>
      </c>
      <c r="G804" s="43">
        <v>76.7</v>
      </c>
    </row>
    <row r="805" spans="1:7" x14ac:dyDescent="0.3">
      <c r="A805" s="19">
        <v>3981</v>
      </c>
      <c r="B805" s="19" t="s">
        <v>1751</v>
      </c>
      <c r="C805" s="19" t="s">
        <v>774</v>
      </c>
      <c r="D805" s="19" t="s">
        <v>1572</v>
      </c>
      <c r="E805" s="19" t="s">
        <v>815</v>
      </c>
      <c r="F805" s="19">
        <v>5</v>
      </c>
      <c r="G805" s="43">
        <v>457.6</v>
      </c>
    </row>
    <row r="806" spans="1:7" x14ac:dyDescent="0.3">
      <c r="A806" s="19">
        <v>1912</v>
      </c>
      <c r="B806" s="19" t="s">
        <v>1752</v>
      </c>
      <c r="C806" s="19" t="s">
        <v>774</v>
      </c>
      <c r="D806" s="19" t="s">
        <v>1670</v>
      </c>
      <c r="E806" s="19" t="s">
        <v>815</v>
      </c>
      <c r="F806" s="19">
        <v>1</v>
      </c>
      <c r="G806" s="43">
        <v>374.66</v>
      </c>
    </row>
    <row r="807" spans="1:7" x14ac:dyDescent="0.3">
      <c r="A807" s="19">
        <v>1630</v>
      </c>
      <c r="B807" s="19" t="s">
        <v>1753</v>
      </c>
      <c r="C807" s="19" t="s">
        <v>774</v>
      </c>
      <c r="D807" s="19" t="s">
        <v>1590</v>
      </c>
      <c r="E807" s="19" t="s">
        <v>972</v>
      </c>
      <c r="F807" s="19">
        <v>0</v>
      </c>
      <c r="G807" s="43">
        <v>258.05</v>
      </c>
    </row>
    <row r="808" spans="1:7" x14ac:dyDescent="0.3">
      <c r="A808" s="19">
        <v>1914</v>
      </c>
      <c r="B808" s="19" t="s">
        <v>1754</v>
      </c>
      <c r="C808" s="19" t="s">
        <v>774</v>
      </c>
      <c r="D808" s="19" t="s">
        <v>1755</v>
      </c>
      <c r="E808" s="19" t="s">
        <v>815</v>
      </c>
      <c r="F808" s="19">
        <v>0.5</v>
      </c>
      <c r="G808" s="43">
        <v>900</v>
      </c>
    </row>
    <row r="809" spans="1:7" x14ac:dyDescent="0.3">
      <c r="A809" s="19">
        <v>3467</v>
      </c>
      <c r="B809" s="19" t="s">
        <v>1756</v>
      </c>
      <c r="C809" s="19" t="s">
        <v>774</v>
      </c>
      <c r="D809" s="19" t="s">
        <v>1755</v>
      </c>
      <c r="E809" s="19" t="s">
        <v>776</v>
      </c>
      <c r="F809" s="19">
        <v>0</v>
      </c>
      <c r="G809" s="43">
        <v>0</v>
      </c>
    </row>
    <row r="810" spans="1:7" x14ac:dyDescent="0.3">
      <c r="A810" s="19">
        <v>534</v>
      </c>
      <c r="B810" s="19" t="s">
        <v>1757</v>
      </c>
      <c r="C810" s="19" t="s">
        <v>774</v>
      </c>
      <c r="D810" s="19" t="s">
        <v>1670</v>
      </c>
      <c r="E810" s="19" t="s">
        <v>972</v>
      </c>
      <c r="F810" s="19">
        <v>1</v>
      </c>
      <c r="G810" s="43">
        <v>99.36</v>
      </c>
    </row>
    <row r="811" spans="1:7" x14ac:dyDescent="0.3">
      <c r="A811" s="19">
        <v>1896</v>
      </c>
      <c r="B811" s="19" t="s">
        <v>1758</v>
      </c>
      <c r="C811" s="19" t="s">
        <v>812</v>
      </c>
      <c r="D811" s="19" t="s">
        <v>1746</v>
      </c>
      <c r="E811" s="19" t="s">
        <v>972</v>
      </c>
      <c r="F811" s="19">
        <v>0</v>
      </c>
      <c r="G811" s="43">
        <v>499</v>
      </c>
    </row>
    <row r="812" spans="1:7" x14ac:dyDescent="0.3">
      <c r="A812" s="19">
        <v>1997</v>
      </c>
      <c r="B812" s="19" t="s">
        <v>1759</v>
      </c>
      <c r="C812" s="19" t="s">
        <v>1242</v>
      </c>
      <c r="D812" s="19" t="s">
        <v>1572</v>
      </c>
      <c r="E812" s="19" t="s">
        <v>972</v>
      </c>
      <c r="F812" s="19">
        <v>0</v>
      </c>
      <c r="G812" s="43">
        <v>260</v>
      </c>
    </row>
    <row r="813" spans="1:7" x14ac:dyDescent="0.3">
      <c r="A813" s="19">
        <v>1919</v>
      </c>
      <c r="B813" s="19" t="s">
        <v>1760</v>
      </c>
      <c r="C813" s="19" t="s">
        <v>812</v>
      </c>
      <c r="D813" s="19" t="s">
        <v>1645</v>
      </c>
      <c r="E813" s="19" t="s">
        <v>815</v>
      </c>
      <c r="F813" s="19">
        <v>0</v>
      </c>
      <c r="G813" s="43">
        <v>68.739999999999995</v>
      </c>
    </row>
    <row r="814" spans="1:7" x14ac:dyDescent="0.3">
      <c r="A814" s="19">
        <v>2479</v>
      </c>
      <c r="B814" s="19" t="s">
        <v>1761</v>
      </c>
      <c r="C814" s="19" t="s">
        <v>774</v>
      </c>
      <c r="D814" s="19" t="s">
        <v>1762</v>
      </c>
      <c r="E814" s="19" t="s">
        <v>815</v>
      </c>
      <c r="F814" s="19">
        <v>0</v>
      </c>
      <c r="G814" s="43">
        <v>2035.57</v>
      </c>
    </row>
    <row r="815" spans="1:7" x14ac:dyDescent="0.3">
      <c r="A815" s="19">
        <v>3983</v>
      </c>
      <c r="B815" s="19" t="s">
        <v>1763</v>
      </c>
      <c r="C815" s="19" t="s">
        <v>774</v>
      </c>
      <c r="D815" s="19" t="s">
        <v>1764</v>
      </c>
      <c r="E815" s="19" t="s">
        <v>815</v>
      </c>
      <c r="F815" s="19">
        <v>1</v>
      </c>
      <c r="G815" s="43">
        <v>568</v>
      </c>
    </row>
    <row r="816" spans="1:7" x14ac:dyDescent="0.3">
      <c r="A816" s="19">
        <v>486</v>
      </c>
      <c r="B816" s="19" t="s">
        <v>1765</v>
      </c>
      <c r="C816" s="19" t="s">
        <v>1766</v>
      </c>
      <c r="D816" s="19" t="s">
        <v>1587</v>
      </c>
      <c r="E816" s="19" t="s">
        <v>972</v>
      </c>
      <c r="F816" s="19">
        <v>0</v>
      </c>
      <c r="G816" s="43">
        <v>25</v>
      </c>
    </row>
    <row r="817" spans="1:7" x14ac:dyDescent="0.3">
      <c r="A817" s="19">
        <v>1575</v>
      </c>
      <c r="B817" s="19" t="s">
        <v>1767</v>
      </c>
      <c r="C817" s="19" t="s">
        <v>774</v>
      </c>
      <c r="D817" s="19" t="s">
        <v>1298</v>
      </c>
      <c r="E817" s="19" t="s">
        <v>815</v>
      </c>
      <c r="F817" s="19">
        <v>0</v>
      </c>
      <c r="G817" s="43">
        <v>44</v>
      </c>
    </row>
    <row r="818" spans="1:7" x14ac:dyDescent="0.3">
      <c r="A818" s="19">
        <v>3325</v>
      </c>
      <c r="B818" s="19" t="s">
        <v>1768</v>
      </c>
      <c r="C818" s="19" t="s">
        <v>774</v>
      </c>
      <c r="D818" s="19" t="s">
        <v>1617</v>
      </c>
      <c r="E818" s="19" t="s">
        <v>972</v>
      </c>
      <c r="F818" s="19">
        <v>0</v>
      </c>
      <c r="G818" s="43">
        <v>55.27</v>
      </c>
    </row>
    <row r="819" spans="1:7" x14ac:dyDescent="0.3">
      <c r="A819" s="19">
        <v>484</v>
      </c>
      <c r="B819" s="19" t="s">
        <v>1769</v>
      </c>
      <c r="C819" s="19" t="s">
        <v>774</v>
      </c>
      <c r="D819" s="19" t="s">
        <v>862</v>
      </c>
      <c r="E819" s="19" t="s">
        <v>815</v>
      </c>
      <c r="F819" s="19">
        <v>25</v>
      </c>
      <c r="G819" s="43">
        <v>2.85</v>
      </c>
    </row>
    <row r="820" spans="1:7" x14ac:dyDescent="0.3">
      <c r="A820" s="19">
        <v>483</v>
      </c>
      <c r="B820" s="19" t="s">
        <v>1770</v>
      </c>
      <c r="C820" s="19" t="s">
        <v>774</v>
      </c>
      <c r="D820" s="19" t="s">
        <v>862</v>
      </c>
      <c r="E820" s="19" t="s">
        <v>815</v>
      </c>
      <c r="F820" s="19">
        <v>25</v>
      </c>
      <c r="G820" s="43">
        <v>1.57</v>
      </c>
    </row>
    <row r="821" spans="1:7" x14ac:dyDescent="0.3">
      <c r="A821" s="19">
        <v>2456</v>
      </c>
      <c r="B821" s="19" t="s">
        <v>1771</v>
      </c>
      <c r="C821" s="19" t="s">
        <v>774</v>
      </c>
      <c r="D821" s="19" t="s">
        <v>854</v>
      </c>
      <c r="E821" s="19" t="s">
        <v>815</v>
      </c>
      <c r="F821" s="19">
        <v>0</v>
      </c>
      <c r="G821" s="43">
        <v>0</v>
      </c>
    </row>
    <row r="822" spans="1:7" x14ac:dyDescent="0.3">
      <c r="A822" s="19">
        <v>1895</v>
      </c>
      <c r="B822" s="19" t="s">
        <v>1772</v>
      </c>
      <c r="C822" s="19" t="s">
        <v>812</v>
      </c>
      <c r="D822" s="19" t="s">
        <v>1746</v>
      </c>
      <c r="E822" s="19" t="s">
        <v>972</v>
      </c>
      <c r="F822" s="19">
        <v>0</v>
      </c>
      <c r="G822" s="43">
        <v>169</v>
      </c>
    </row>
    <row r="823" spans="1:7" x14ac:dyDescent="0.3">
      <c r="A823" s="19">
        <v>2322</v>
      </c>
      <c r="B823" s="19" t="s">
        <v>1773</v>
      </c>
      <c r="C823" s="19" t="s">
        <v>774</v>
      </c>
      <c r="D823" s="19" t="s">
        <v>1774</v>
      </c>
      <c r="E823" s="19" t="s">
        <v>815</v>
      </c>
      <c r="F823" s="19">
        <v>1</v>
      </c>
      <c r="G823" s="43">
        <v>294.05</v>
      </c>
    </row>
    <row r="824" spans="1:7" x14ac:dyDescent="0.3">
      <c r="A824" s="19">
        <v>2463</v>
      </c>
      <c r="B824" s="19" t="s">
        <v>1775</v>
      </c>
      <c r="C824" s="19" t="s">
        <v>812</v>
      </c>
      <c r="D824" s="19" t="s">
        <v>1570</v>
      </c>
      <c r="E824" s="19" t="s">
        <v>815</v>
      </c>
      <c r="F824" s="19">
        <v>0</v>
      </c>
      <c r="G824" s="43">
        <v>0</v>
      </c>
    </row>
    <row r="825" spans="1:7" x14ac:dyDescent="0.3">
      <c r="A825" s="19">
        <v>3984</v>
      </c>
      <c r="B825" s="19" t="s">
        <v>1776</v>
      </c>
      <c r="C825" s="19" t="s">
        <v>774</v>
      </c>
      <c r="D825" s="19" t="s">
        <v>1574</v>
      </c>
      <c r="E825" s="19" t="s">
        <v>815</v>
      </c>
      <c r="F825" s="19">
        <v>0.5</v>
      </c>
      <c r="G825" s="43">
        <v>742.4</v>
      </c>
    </row>
    <row r="826" spans="1:7" x14ac:dyDescent="0.3">
      <c r="A826" s="19">
        <v>1765</v>
      </c>
      <c r="B826" s="19" t="s">
        <v>1777</v>
      </c>
      <c r="C826" s="19" t="s">
        <v>807</v>
      </c>
      <c r="D826" s="19" t="s">
        <v>1587</v>
      </c>
      <c r="E826" s="19" t="s">
        <v>815</v>
      </c>
      <c r="F826" s="19">
        <v>0</v>
      </c>
      <c r="G826" s="43">
        <v>16.11</v>
      </c>
    </row>
    <row r="827" spans="1:7" x14ac:dyDescent="0.3">
      <c r="A827" s="19">
        <v>2653</v>
      </c>
      <c r="B827" s="19" t="s">
        <v>1778</v>
      </c>
      <c r="C827" s="19" t="s">
        <v>774</v>
      </c>
      <c r="D827" s="19" t="s">
        <v>1779</v>
      </c>
      <c r="E827" s="19" t="s">
        <v>815</v>
      </c>
      <c r="F827" s="19">
        <v>0</v>
      </c>
      <c r="G827" s="43">
        <v>27.93</v>
      </c>
    </row>
    <row r="828" spans="1:7" x14ac:dyDescent="0.3">
      <c r="A828" s="19">
        <v>1629</v>
      </c>
      <c r="B828" s="19" t="s">
        <v>1780</v>
      </c>
      <c r="C828" s="19" t="s">
        <v>774</v>
      </c>
      <c r="D828" s="19" t="s">
        <v>1597</v>
      </c>
      <c r="E828" s="19" t="s">
        <v>972</v>
      </c>
      <c r="F828" s="19">
        <v>0</v>
      </c>
      <c r="G828" s="43">
        <v>600</v>
      </c>
    </row>
    <row r="829" spans="1:7" x14ac:dyDescent="0.3">
      <c r="A829" s="19">
        <v>1915</v>
      </c>
      <c r="B829" s="19" t="s">
        <v>1781</v>
      </c>
      <c r="C829" s="19" t="s">
        <v>774</v>
      </c>
      <c r="D829" s="19" t="s">
        <v>1782</v>
      </c>
      <c r="E829" s="19" t="s">
        <v>815</v>
      </c>
      <c r="F829" s="19">
        <v>1</v>
      </c>
      <c r="G829" s="43">
        <v>21</v>
      </c>
    </row>
    <row r="830" spans="1:7" x14ac:dyDescent="0.3">
      <c r="A830" s="19">
        <v>30</v>
      </c>
      <c r="B830" s="19" t="s">
        <v>1783</v>
      </c>
      <c r="C830" s="19" t="s">
        <v>856</v>
      </c>
      <c r="D830" s="19" t="s">
        <v>934</v>
      </c>
      <c r="E830" s="19" t="s">
        <v>815</v>
      </c>
      <c r="F830" s="19">
        <v>0</v>
      </c>
      <c r="G830" s="43">
        <v>27.46</v>
      </c>
    </row>
    <row r="831" spans="1:7" x14ac:dyDescent="0.3">
      <c r="A831" s="19">
        <v>535</v>
      </c>
      <c r="B831" s="19" t="s">
        <v>1784</v>
      </c>
      <c r="C831" s="19" t="s">
        <v>774</v>
      </c>
      <c r="D831" s="19" t="s">
        <v>1574</v>
      </c>
      <c r="E831" s="19" t="s">
        <v>815</v>
      </c>
      <c r="F831" s="19">
        <v>5</v>
      </c>
      <c r="G831" s="43">
        <v>899.9</v>
      </c>
    </row>
    <row r="832" spans="1:7" x14ac:dyDescent="0.3">
      <c r="A832" s="19">
        <v>489</v>
      </c>
      <c r="B832" s="19" t="s">
        <v>1785</v>
      </c>
      <c r="C832" s="19" t="s">
        <v>774</v>
      </c>
      <c r="D832" s="19" t="s">
        <v>1786</v>
      </c>
      <c r="E832" s="19" t="s">
        <v>815</v>
      </c>
      <c r="F832" s="19">
        <v>4</v>
      </c>
      <c r="G832" s="43">
        <v>170.46</v>
      </c>
    </row>
    <row r="833" spans="1:7" x14ac:dyDescent="0.3">
      <c r="A833" s="19">
        <v>531</v>
      </c>
      <c r="B833" s="19" t="s">
        <v>1787</v>
      </c>
      <c r="C833" s="19" t="s">
        <v>774</v>
      </c>
      <c r="D833" s="19" t="s">
        <v>968</v>
      </c>
      <c r="E833" s="19" t="s">
        <v>815</v>
      </c>
      <c r="F833" s="19">
        <v>18</v>
      </c>
      <c r="G833" s="43">
        <v>155</v>
      </c>
    </row>
    <row r="834" spans="1:7" x14ac:dyDescent="0.3">
      <c r="A834" s="19">
        <v>1899</v>
      </c>
      <c r="B834" s="19" t="s">
        <v>1788</v>
      </c>
      <c r="C834" s="19" t="s">
        <v>774</v>
      </c>
      <c r="D834" s="19" t="s">
        <v>1670</v>
      </c>
      <c r="E834" s="19" t="s">
        <v>815</v>
      </c>
      <c r="F834" s="19">
        <v>1</v>
      </c>
      <c r="G834" s="43">
        <v>590.26</v>
      </c>
    </row>
    <row r="835" spans="1:7" x14ac:dyDescent="0.3">
      <c r="A835" s="19">
        <v>1913</v>
      </c>
      <c r="B835" s="19" t="s">
        <v>1789</v>
      </c>
      <c r="C835" s="19" t="s">
        <v>774</v>
      </c>
      <c r="D835" s="19" t="s">
        <v>794</v>
      </c>
      <c r="E835" s="19" t="s">
        <v>815</v>
      </c>
      <c r="F835" s="19">
        <v>0.1</v>
      </c>
      <c r="G835" s="43">
        <v>525</v>
      </c>
    </row>
    <row r="836" spans="1:7" x14ac:dyDescent="0.3">
      <c r="A836" s="19">
        <v>2324</v>
      </c>
      <c r="B836" s="19" t="s">
        <v>1790</v>
      </c>
      <c r="C836" s="19" t="s">
        <v>774</v>
      </c>
      <c r="D836" s="19" t="s">
        <v>1578</v>
      </c>
      <c r="E836" s="19" t="s">
        <v>815</v>
      </c>
      <c r="F836" s="19">
        <v>1</v>
      </c>
      <c r="G836" s="43">
        <v>5221.2299999999996</v>
      </c>
    </row>
    <row r="837" spans="1:7" x14ac:dyDescent="0.3">
      <c r="A837" s="19">
        <v>2327</v>
      </c>
      <c r="B837" s="19" t="s">
        <v>1791</v>
      </c>
      <c r="C837" s="19" t="s">
        <v>774</v>
      </c>
      <c r="D837" s="19" t="s">
        <v>1570</v>
      </c>
      <c r="E837" s="19" t="s">
        <v>815</v>
      </c>
      <c r="F837" s="19">
        <v>1</v>
      </c>
      <c r="G837" s="43">
        <v>68</v>
      </c>
    </row>
    <row r="838" spans="1:7" x14ac:dyDescent="0.3">
      <c r="A838" s="19">
        <v>2329</v>
      </c>
      <c r="B838" s="19" t="s">
        <v>1792</v>
      </c>
      <c r="C838" s="19" t="s">
        <v>774</v>
      </c>
      <c r="D838" s="19" t="s">
        <v>1570</v>
      </c>
      <c r="E838" s="19" t="s">
        <v>815</v>
      </c>
      <c r="F838" s="19">
        <v>1</v>
      </c>
      <c r="G838" s="43">
        <v>150</v>
      </c>
    </row>
    <row r="839" spans="1:7" x14ac:dyDescent="0.3">
      <c r="A839" s="19">
        <v>1907</v>
      </c>
      <c r="B839" s="19" t="s">
        <v>1793</v>
      </c>
      <c r="C839" s="19" t="s">
        <v>774</v>
      </c>
      <c r="D839" s="19" t="s">
        <v>1623</v>
      </c>
      <c r="E839" s="19" t="s">
        <v>815</v>
      </c>
      <c r="F839" s="19">
        <v>1</v>
      </c>
      <c r="G839" s="43">
        <v>612.75</v>
      </c>
    </row>
    <row r="840" spans="1:7" x14ac:dyDescent="0.3">
      <c r="A840" s="19">
        <v>3964</v>
      </c>
      <c r="B840" s="19" t="s">
        <v>1794</v>
      </c>
      <c r="C840" s="19" t="s">
        <v>774</v>
      </c>
      <c r="D840" s="19" t="s">
        <v>1570</v>
      </c>
      <c r="E840" s="19" t="s">
        <v>815</v>
      </c>
      <c r="F840" s="19">
        <v>0.1</v>
      </c>
      <c r="G840" s="43">
        <v>10380</v>
      </c>
    </row>
    <row r="841" spans="1:7" x14ac:dyDescent="0.3">
      <c r="A841" s="19">
        <v>533</v>
      </c>
      <c r="B841" s="19" t="s">
        <v>1795</v>
      </c>
      <c r="C841" s="19" t="s">
        <v>774</v>
      </c>
      <c r="D841" s="19" t="s">
        <v>1574</v>
      </c>
      <c r="E841" s="19" t="s">
        <v>815</v>
      </c>
      <c r="F841" s="19">
        <v>5</v>
      </c>
      <c r="G841" s="43">
        <v>139</v>
      </c>
    </row>
    <row r="842" spans="1:7" x14ac:dyDescent="0.3">
      <c r="A842" s="19">
        <v>1767</v>
      </c>
      <c r="B842" s="19" t="s">
        <v>1796</v>
      </c>
      <c r="C842" s="19" t="s">
        <v>774</v>
      </c>
      <c r="D842" s="19" t="s">
        <v>1568</v>
      </c>
      <c r="E842" s="19" t="s">
        <v>815</v>
      </c>
      <c r="F842" s="19">
        <v>0</v>
      </c>
      <c r="G842" s="43">
        <v>0</v>
      </c>
    </row>
    <row r="843" spans="1:7" x14ac:dyDescent="0.3">
      <c r="A843" s="19">
        <v>3449</v>
      </c>
      <c r="B843" s="19" t="s">
        <v>1797</v>
      </c>
      <c r="C843" s="19" t="s">
        <v>774</v>
      </c>
      <c r="D843" s="19" t="s">
        <v>964</v>
      </c>
      <c r="E843" s="19" t="s">
        <v>815</v>
      </c>
      <c r="F843" s="19">
        <v>0</v>
      </c>
      <c r="G843" s="43">
        <v>0</v>
      </c>
    </row>
    <row r="844" spans="1:7" x14ac:dyDescent="0.3">
      <c r="A844" s="19">
        <v>505</v>
      </c>
      <c r="B844" s="19" t="s">
        <v>1798</v>
      </c>
      <c r="C844" s="19" t="s">
        <v>774</v>
      </c>
      <c r="D844" s="19" t="s">
        <v>964</v>
      </c>
      <c r="E844" s="19" t="s">
        <v>815</v>
      </c>
      <c r="F844" s="19">
        <v>20</v>
      </c>
      <c r="G844" s="43">
        <v>46.06</v>
      </c>
    </row>
    <row r="845" spans="1:7" x14ac:dyDescent="0.3">
      <c r="A845" s="19">
        <v>1546</v>
      </c>
      <c r="B845" s="19" t="s">
        <v>1799</v>
      </c>
      <c r="C845" s="19" t="s">
        <v>774</v>
      </c>
      <c r="D845" s="19" t="s">
        <v>1800</v>
      </c>
      <c r="E845" s="19" t="s">
        <v>815</v>
      </c>
      <c r="F845" s="19">
        <v>1</v>
      </c>
      <c r="G845" s="43">
        <v>68.36</v>
      </c>
    </row>
    <row r="846" spans="1:7" x14ac:dyDescent="0.3">
      <c r="A846" s="19">
        <v>1894</v>
      </c>
      <c r="B846" s="19" t="s">
        <v>1801</v>
      </c>
      <c r="C846" s="19" t="s">
        <v>812</v>
      </c>
      <c r="D846" s="19" t="s">
        <v>1746</v>
      </c>
      <c r="E846" s="19" t="s">
        <v>972</v>
      </c>
      <c r="F846" s="19">
        <v>0</v>
      </c>
      <c r="G846" s="43">
        <v>275</v>
      </c>
    </row>
    <row r="847" spans="1:7" x14ac:dyDescent="0.3">
      <c r="A847" s="19">
        <v>1111111</v>
      </c>
      <c r="B847" s="19" t="s">
        <v>390</v>
      </c>
      <c r="C847" s="19"/>
      <c r="D847" s="19"/>
      <c r="E847" s="19"/>
      <c r="F847" s="19">
        <v>0</v>
      </c>
      <c r="G847" s="43">
        <v>0</v>
      </c>
    </row>
    <row r="848" spans="1:7" x14ac:dyDescent="0.3">
      <c r="A848" s="19">
        <v>2222222</v>
      </c>
      <c r="B848" s="19" t="s">
        <v>391</v>
      </c>
      <c r="C848" s="19"/>
      <c r="D848" s="19"/>
      <c r="E848" s="19"/>
      <c r="F848" s="19">
        <v>0</v>
      </c>
      <c r="G848" s="43">
        <v>23.91</v>
      </c>
    </row>
    <row r="849" spans="1:7" x14ac:dyDescent="0.3">
      <c r="A849" s="19">
        <v>3333333</v>
      </c>
      <c r="B849" s="19" t="s">
        <v>396</v>
      </c>
      <c r="C849" s="19"/>
      <c r="D849" s="19"/>
      <c r="E849" s="19"/>
      <c r="F849" s="19">
        <v>0</v>
      </c>
      <c r="G849" s="43">
        <v>31.43</v>
      </c>
    </row>
    <row r="850" spans="1:7" x14ac:dyDescent="0.3">
      <c r="A850" s="19">
        <v>4444444</v>
      </c>
      <c r="B850" s="19" t="s">
        <v>397</v>
      </c>
      <c r="C850" s="19"/>
      <c r="D850" s="19"/>
      <c r="E850" s="19"/>
      <c r="F850" s="19">
        <v>0</v>
      </c>
      <c r="G850" s="43">
        <v>12.9</v>
      </c>
    </row>
    <row r="851" spans="1:7" x14ac:dyDescent="0.3">
      <c r="A851" s="19">
        <v>105</v>
      </c>
      <c r="B851" s="19" t="s">
        <v>1802</v>
      </c>
      <c r="C851" s="19" t="s">
        <v>899</v>
      </c>
      <c r="D851" s="19" t="s">
        <v>1803</v>
      </c>
      <c r="E851" s="19" t="s">
        <v>815</v>
      </c>
      <c r="F851" s="19">
        <v>0</v>
      </c>
      <c r="G851" s="43">
        <v>189.9</v>
      </c>
    </row>
    <row r="852" spans="1:7" x14ac:dyDescent="0.3">
      <c r="A852" s="19">
        <v>23</v>
      </c>
      <c r="B852" s="19" t="s">
        <v>1804</v>
      </c>
      <c r="C852" s="19" t="s">
        <v>899</v>
      </c>
      <c r="D852" s="19" t="s">
        <v>1803</v>
      </c>
      <c r="E852" s="19" t="s">
        <v>815</v>
      </c>
      <c r="F852" s="19">
        <v>0</v>
      </c>
      <c r="G852" s="43">
        <v>14.86</v>
      </c>
    </row>
    <row r="853" spans="1:7" x14ac:dyDescent="0.3">
      <c r="A853" s="19">
        <v>1080</v>
      </c>
      <c r="B853" s="19" t="s">
        <v>1805</v>
      </c>
      <c r="C853" s="19" t="s">
        <v>899</v>
      </c>
      <c r="D853" s="19" t="s">
        <v>1806</v>
      </c>
      <c r="E853" s="19" t="s">
        <v>1330</v>
      </c>
      <c r="F853" s="19">
        <v>0</v>
      </c>
      <c r="G853" s="43">
        <v>212.77</v>
      </c>
    </row>
    <row r="854" spans="1:7" x14ac:dyDescent="0.3">
      <c r="A854" s="19">
        <v>1081</v>
      </c>
      <c r="B854" s="19" t="s">
        <v>1807</v>
      </c>
      <c r="C854" s="19" t="s">
        <v>899</v>
      </c>
      <c r="D854" s="19" t="s">
        <v>1806</v>
      </c>
      <c r="E854" s="19" t="s">
        <v>1330</v>
      </c>
      <c r="F854" s="19">
        <v>0</v>
      </c>
      <c r="G854" s="43">
        <v>180.8</v>
      </c>
    </row>
    <row r="855" spans="1:7" x14ac:dyDescent="0.3">
      <c r="A855" s="19">
        <v>24</v>
      </c>
      <c r="B855" s="19" t="s">
        <v>1808</v>
      </c>
      <c r="C855" s="19" t="s">
        <v>774</v>
      </c>
      <c r="D855" s="19" t="s">
        <v>1809</v>
      </c>
      <c r="E855" s="19" t="s">
        <v>815</v>
      </c>
      <c r="F855" s="19">
        <v>0</v>
      </c>
      <c r="G855" s="43">
        <v>49</v>
      </c>
    </row>
    <row r="856" spans="1:7" x14ac:dyDescent="0.3">
      <c r="A856" s="19">
        <v>34</v>
      </c>
      <c r="B856" s="19" t="s">
        <v>1810</v>
      </c>
      <c r="C856" s="19" t="s">
        <v>774</v>
      </c>
      <c r="D856" s="19" t="s">
        <v>854</v>
      </c>
      <c r="E856" s="19" t="s">
        <v>815</v>
      </c>
      <c r="F856" s="19">
        <v>0</v>
      </c>
      <c r="G856" s="43">
        <v>27.6</v>
      </c>
    </row>
    <row r="857" spans="1:7" x14ac:dyDescent="0.3">
      <c r="A857" s="19">
        <v>793</v>
      </c>
      <c r="B857" s="19" t="s">
        <v>1811</v>
      </c>
      <c r="C857" s="19" t="s">
        <v>774</v>
      </c>
      <c r="D857" s="19" t="s">
        <v>1812</v>
      </c>
      <c r="E857" s="19" t="s">
        <v>815</v>
      </c>
      <c r="F857" s="19">
        <v>0</v>
      </c>
      <c r="G857" s="43">
        <v>353.32</v>
      </c>
    </row>
    <row r="858" spans="1:7" x14ac:dyDescent="0.3">
      <c r="A858" s="19">
        <v>27</v>
      </c>
      <c r="B858" s="19" t="s">
        <v>1813</v>
      </c>
      <c r="C858" s="19" t="s">
        <v>849</v>
      </c>
      <c r="D858" s="19" t="s">
        <v>1814</v>
      </c>
      <c r="E858" s="19" t="s">
        <v>815</v>
      </c>
      <c r="F858" s="19">
        <v>0</v>
      </c>
      <c r="G858" s="43">
        <v>662.6</v>
      </c>
    </row>
    <row r="859" spans="1:7" x14ac:dyDescent="0.3">
      <c r="A859" s="19">
        <v>5555555</v>
      </c>
      <c r="B859" s="19" t="s">
        <v>398</v>
      </c>
      <c r="C859" s="19"/>
      <c r="D859" s="19"/>
      <c r="E859" s="19"/>
      <c r="F859" s="19">
        <v>208</v>
      </c>
      <c r="G859" s="43">
        <v>10.45</v>
      </c>
    </row>
    <row r="860" spans="1:7" x14ac:dyDescent="0.3">
      <c r="A860" s="19">
        <v>6666666</v>
      </c>
      <c r="B860" s="19" t="s">
        <v>1815</v>
      </c>
      <c r="C860" s="19"/>
      <c r="D860" s="19"/>
      <c r="E860" s="19"/>
      <c r="F860" s="19">
        <v>0</v>
      </c>
      <c r="G860" s="43">
        <v>32.54</v>
      </c>
    </row>
    <row r="861" spans="1:7" x14ac:dyDescent="0.3">
      <c r="A861" s="19">
        <v>7777777</v>
      </c>
      <c r="B861" s="19" t="s">
        <v>1816</v>
      </c>
      <c r="C861" s="19"/>
      <c r="D861" s="19"/>
      <c r="E861" s="19"/>
      <c r="F861" s="19">
        <v>500</v>
      </c>
      <c r="G861" s="43">
        <v>24.2</v>
      </c>
    </row>
    <row r="862" spans="1:7" x14ac:dyDescent="0.3">
      <c r="A862" s="19">
        <v>8888888</v>
      </c>
      <c r="B862" s="19" t="s">
        <v>1817</v>
      </c>
      <c r="C862" s="19"/>
      <c r="D862" s="19"/>
      <c r="E862" s="19"/>
      <c r="F862" s="19">
        <v>0</v>
      </c>
      <c r="G862" s="43">
        <v>11.15</v>
      </c>
    </row>
    <row r="863" spans="1:7" x14ac:dyDescent="0.3">
      <c r="A863" s="19">
        <v>9999999</v>
      </c>
      <c r="B863" s="19" t="s">
        <v>403</v>
      </c>
      <c r="C863" s="19"/>
      <c r="D863" s="19"/>
      <c r="E863" s="19"/>
      <c r="F863" s="19">
        <v>0</v>
      </c>
      <c r="G863" s="43">
        <v>22</v>
      </c>
    </row>
    <row r="864" spans="1:7" x14ac:dyDescent="0.3">
      <c r="A864" s="19">
        <v>11111110</v>
      </c>
      <c r="B864" s="19" t="s">
        <v>404</v>
      </c>
      <c r="C864" s="19"/>
      <c r="D864" s="19"/>
      <c r="E864" s="19"/>
      <c r="F864" s="19">
        <v>108</v>
      </c>
      <c r="G864" s="43">
        <v>31.04</v>
      </c>
    </row>
    <row r="865" spans="1:7" x14ac:dyDescent="0.3">
      <c r="A865" s="19">
        <v>12222221</v>
      </c>
      <c r="B865" s="19" t="s">
        <v>405</v>
      </c>
      <c r="C865" s="19"/>
      <c r="D865" s="19"/>
      <c r="E865" s="19"/>
      <c r="F865" s="19">
        <v>0</v>
      </c>
      <c r="G865" s="43">
        <v>13.85</v>
      </c>
    </row>
    <row r="866" spans="1:7" x14ac:dyDescent="0.3">
      <c r="A866" s="19">
        <v>13333332</v>
      </c>
      <c r="B866" s="19" t="s">
        <v>406</v>
      </c>
      <c r="C866" s="19"/>
      <c r="D866" s="19"/>
      <c r="E866" s="19"/>
      <c r="F866" s="19">
        <v>0</v>
      </c>
      <c r="G866" s="43">
        <v>9.75</v>
      </c>
    </row>
    <row r="867" spans="1:7" x14ac:dyDescent="0.3">
      <c r="A867" s="19">
        <v>14444443</v>
      </c>
      <c r="B867" s="19" t="s">
        <v>407</v>
      </c>
      <c r="C867" s="19"/>
      <c r="D867" s="19"/>
      <c r="E867" s="19"/>
      <c r="F867" s="19">
        <v>0</v>
      </c>
      <c r="G867" s="43">
        <v>8.85</v>
      </c>
    </row>
    <row r="868" spans="1:7" x14ac:dyDescent="0.3">
      <c r="A868" s="19">
        <v>15555554</v>
      </c>
      <c r="B868" s="19" t="s">
        <v>408</v>
      </c>
      <c r="C868" s="19"/>
      <c r="D868" s="19"/>
      <c r="E868" s="19"/>
      <c r="F868" s="19">
        <v>0</v>
      </c>
      <c r="G868" s="43">
        <v>15.15</v>
      </c>
    </row>
    <row r="869" spans="1:7" x14ac:dyDescent="0.3">
      <c r="A869" s="19">
        <v>16666665</v>
      </c>
      <c r="B869" s="19" t="s">
        <v>409</v>
      </c>
      <c r="C869" s="19"/>
      <c r="D869" s="19"/>
      <c r="E869" s="19"/>
      <c r="F869" s="19">
        <v>0</v>
      </c>
      <c r="G869" s="43">
        <v>8.9600000000000009</v>
      </c>
    </row>
    <row r="870" spans="1:7" x14ac:dyDescent="0.3">
      <c r="A870" s="19">
        <v>17777776</v>
      </c>
      <c r="B870" s="19" t="s">
        <v>410</v>
      </c>
      <c r="C870" s="19"/>
      <c r="D870" s="19"/>
      <c r="E870" s="19"/>
      <c r="F870" s="19">
        <v>0</v>
      </c>
      <c r="G870" s="43">
        <v>23.64</v>
      </c>
    </row>
    <row r="871" spans="1:7" x14ac:dyDescent="0.3">
      <c r="A871" s="19">
        <v>18888887</v>
      </c>
      <c r="B871" s="19" t="s">
        <v>1818</v>
      </c>
      <c r="C871" s="19"/>
      <c r="D871" s="19"/>
      <c r="E871" s="19"/>
      <c r="F871" s="19">
        <v>0</v>
      </c>
      <c r="G871" s="43">
        <v>20.99</v>
      </c>
    </row>
    <row r="872" spans="1:7" x14ac:dyDescent="0.3">
      <c r="A872" s="19">
        <v>19999998</v>
      </c>
      <c r="B872" s="19" t="s">
        <v>412</v>
      </c>
      <c r="C872" s="19"/>
      <c r="D872" s="19"/>
      <c r="E872" s="19"/>
      <c r="F872" s="19">
        <v>0</v>
      </c>
      <c r="G872" s="43">
        <v>30</v>
      </c>
    </row>
    <row r="873" spans="1:7" x14ac:dyDescent="0.3">
      <c r="A873" s="19">
        <v>21111109</v>
      </c>
      <c r="B873" s="19" t="s">
        <v>1819</v>
      </c>
      <c r="C873" s="19"/>
      <c r="D873" s="19"/>
      <c r="E873" s="19"/>
      <c r="F873" s="19">
        <v>0</v>
      </c>
      <c r="G873" s="43">
        <v>13.99</v>
      </c>
    </row>
    <row r="874" spans="1:7" x14ac:dyDescent="0.3">
      <c r="A874" s="19">
        <v>22222220</v>
      </c>
      <c r="B874" s="19" t="s">
        <v>1820</v>
      </c>
      <c r="C874" s="19"/>
      <c r="D874" s="19"/>
      <c r="E874" s="19"/>
      <c r="F874" s="19">
        <v>0</v>
      </c>
      <c r="G874" s="43">
        <v>12</v>
      </c>
    </row>
    <row r="875" spans="1:7" x14ac:dyDescent="0.3">
      <c r="A875" s="19">
        <v>23333331</v>
      </c>
      <c r="B875" s="19" t="s">
        <v>415</v>
      </c>
      <c r="C875" s="19"/>
      <c r="D875" s="19"/>
      <c r="E875" s="19"/>
      <c r="F875" s="19">
        <v>0</v>
      </c>
      <c r="G875" s="43">
        <v>12.47</v>
      </c>
    </row>
    <row r="876" spans="1:7" x14ac:dyDescent="0.3">
      <c r="A876" s="19">
        <v>24444442</v>
      </c>
      <c r="B876" s="19" t="s">
        <v>416</v>
      </c>
      <c r="C876" s="19"/>
      <c r="D876" s="19"/>
      <c r="E876" s="19"/>
      <c r="F876" s="19">
        <v>0</v>
      </c>
      <c r="G876" s="43">
        <v>11.45</v>
      </c>
    </row>
    <row r="877" spans="1:7" x14ac:dyDescent="0.3">
      <c r="A877" s="19">
        <v>25555553</v>
      </c>
      <c r="B877" s="19" t="s">
        <v>417</v>
      </c>
      <c r="C877" s="19"/>
      <c r="D877" s="19"/>
      <c r="E877" s="19"/>
      <c r="F877" s="19">
        <v>0</v>
      </c>
      <c r="G877" s="43">
        <v>21</v>
      </c>
    </row>
    <row r="878" spans="1:7" x14ac:dyDescent="0.3">
      <c r="A878" s="19">
        <v>26666664</v>
      </c>
      <c r="B878" s="19" t="s">
        <v>1821</v>
      </c>
      <c r="C878" s="19"/>
      <c r="D878" s="19"/>
      <c r="E878" s="19"/>
      <c r="F878" s="19">
        <v>0</v>
      </c>
      <c r="G878" s="43">
        <v>18.920000000000002</v>
      </c>
    </row>
    <row r="879" spans="1:7" x14ac:dyDescent="0.3">
      <c r="A879" s="19">
        <v>27777775</v>
      </c>
      <c r="B879" s="19" t="s">
        <v>419</v>
      </c>
      <c r="C879" s="19"/>
      <c r="D879" s="19"/>
      <c r="E879" s="19"/>
      <c r="F879" s="19">
        <v>0</v>
      </c>
      <c r="G879" s="43">
        <v>44.17</v>
      </c>
    </row>
    <row r="880" spans="1:7" x14ac:dyDescent="0.3">
      <c r="A880" s="19">
        <v>28888886</v>
      </c>
      <c r="B880" s="19" t="s">
        <v>420</v>
      </c>
      <c r="C880" s="19"/>
      <c r="D880" s="19"/>
      <c r="E880" s="19"/>
      <c r="F880" s="19">
        <v>0</v>
      </c>
      <c r="G880" s="43">
        <v>33.43</v>
      </c>
    </row>
    <row r="881" spans="1:7" x14ac:dyDescent="0.3">
      <c r="A881" s="19">
        <v>29999997</v>
      </c>
      <c r="B881" s="19" t="s">
        <v>1822</v>
      </c>
      <c r="C881" s="19"/>
      <c r="D881" s="19"/>
      <c r="E881" s="19"/>
      <c r="F881" s="19">
        <v>0</v>
      </c>
      <c r="G881" s="43">
        <v>19.57</v>
      </c>
    </row>
    <row r="882" spans="1:7" x14ac:dyDescent="0.3">
      <c r="A882" s="19">
        <v>31111108</v>
      </c>
      <c r="B882" s="19" t="s">
        <v>422</v>
      </c>
      <c r="C882" s="19"/>
      <c r="D882" s="19"/>
      <c r="E882" s="19"/>
      <c r="F882" s="19">
        <v>0</v>
      </c>
      <c r="G882" s="43">
        <v>12.35</v>
      </c>
    </row>
    <row r="883" spans="1:7" x14ac:dyDescent="0.3">
      <c r="A883" s="19">
        <v>32222219</v>
      </c>
      <c r="B883" s="19" t="s">
        <v>423</v>
      </c>
      <c r="C883" s="19"/>
      <c r="D883" s="19"/>
      <c r="E883" s="19"/>
      <c r="F883" s="19">
        <v>0</v>
      </c>
      <c r="G883" s="43">
        <v>11.27</v>
      </c>
    </row>
    <row r="884" spans="1:7" x14ac:dyDescent="0.3">
      <c r="A884" s="19">
        <v>33333330</v>
      </c>
      <c r="B884" s="19" t="s">
        <v>424</v>
      </c>
      <c r="C884" s="19"/>
      <c r="D884" s="19"/>
      <c r="E884" s="19"/>
      <c r="F884" s="19">
        <v>0</v>
      </c>
      <c r="G884" s="43">
        <v>10.67</v>
      </c>
    </row>
    <row r="885" spans="1:7" x14ac:dyDescent="0.3">
      <c r="A885" s="19">
        <v>34444441</v>
      </c>
      <c r="B885" s="19" t="s">
        <v>1823</v>
      </c>
      <c r="C885" s="19"/>
      <c r="D885" s="19"/>
      <c r="E885" s="19"/>
      <c r="F885" s="19">
        <v>0</v>
      </c>
      <c r="G885" s="43">
        <v>9.9</v>
      </c>
    </row>
    <row r="886" spans="1:7" x14ac:dyDescent="0.3">
      <c r="A886" s="19">
        <v>35555552</v>
      </c>
      <c r="B886" s="19" t="s">
        <v>426</v>
      </c>
      <c r="C886" s="19"/>
      <c r="D886" s="19"/>
      <c r="E886" s="19"/>
      <c r="F886" s="19">
        <v>208</v>
      </c>
      <c r="G886" s="43">
        <v>9.43</v>
      </c>
    </row>
    <row r="887" spans="1:7" x14ac:dyDescent="0.3">
      <c r="A887" s="19">
        <v>36666663</v>
      </c>
      <c r="B887" s="19" t="s">
        <v>1824</v>
      </c>
      <c r="C887" s="19"/>
      <c r="D887" s="19"/>
      <c r="E887" s="19"/>
      <c r="F887" s="19">
        <v>0</v>
      </c>
      <c r="G887" s="43">
        <v>11.17</v>
      </c>
    </row>
    <row r="888" spans="1:7" x14ac:dyDescent="0.3">
      <c r="A888" s="19">
        <v>37777774</v>
      </c>
      <c r="B888" s="19" t="s">
        <v>428</v>
      </c>
      <c r="C888" s="19"/>
      <c r="D888" s="19"/>
      <c r="E888" s="19"/>
      <c r="F888" s="19">
        <v>0</v>
      </c>
      <c r="G888" s="43">
        <v>21</v>
      </c>
    </row>
    <row r="889" spans="1:7" x14ac:dyDescent="0.3">
      <c r="A889" s="19">
        <v>38888885</v>
      </c>
      <c r="B889" s="19" t="s">
        <v>1825</v>
      </c>
      <c r="C889" s="19"/>
      <c r="D889" s="19"/>
      <c r="E889" s="19"/>
      <c r="F889" s="19">
        <v>108</v>
      </c>
      <c r="G889" s="43">
        <v>26.76</v>
      </c>
    </row>
    <row r="890" spans="1:7" x14ac:dyDescent="0.3">
      <c r="A890" s="19">
        <v>39999996</v>
      </c>
      <c r="B890" s="19" t="s">
        <v>430</v>
      </c>
      <c r="C890" s="19"/>
      <c r="D890" s="19"/>
      <c r="E890" s="19"/>
      <c r="F890" s="19">
        <v>500</v>
      </c>
      <c r="G890" s="43">
        <v>33.51</v>
      </c>
    </row>
    <row r="891" spans="1:7" x14ac:dyDescent="0.3">
      <c r="A891" s="19">
        <v>41111107</v>
      </c>
      <c r="B891" s="19" t="s">
        <v>1826</v>
      </c>
      <c r="C891" s="19"/>
      <c r="D891" s="19"/>
      <c r="E891" s="19"/>
      <c r="F891" s="19">
        <v>116</v>
      </c>
      <c r="G891" s="43">
        <v>30.57</v>
      </c>
    </row>
    <row r="892" spans="1:7" x14ac:dyDescent="0.3">
      <c r="A892" s="19">
        <v>42222218</v>
      </c>
      <c r="B892" s="19" t="s">
        <v>432</v>
      </c>
      <c r="C892" s="19"/>
      <c r="D892" s="19"/>
      <c r="E892" s="19"/>
      <c r="F892" s="19">
        <v>208</v>
      </c>
      <c r="G892" s="43">
        <v>20.88</v>
      </c>
    </row>
    <row r="893" spans="1:7" x14ac:dyDescent="0.3">
      <c r="A893" s="19">
        <v>43333329</v>
      </c>
      <c r="B893" s="19" t="s">
        <v>1827</v>
      </c>
      <c r="C893" s="19"/>
      <c r="D893" s="19"/>
      <c r="E893" s="19"/>
      <c r="F893" s="19">
        <v>0</v>
      </c>
      <c r="G893" s="43">
        <v>21.45</v>
      </c>
    </row>
    <row r="894" spans="1:7" x14ac:dyDescent="0.3">
      <c r="A894" s="19">
        <v>44444440</v>
      </c>
      <c r="B894" s="19" t="s">
        <v>434</v>
      </c>
      <c r="C894" s="19"/>
      <c r="D894" s="19"/>
      <c r="E894" s="19"/>
      <c r="F894" s="19">
        <v>0</v>
      </c>
      <c r="G894" s="43">
        <v>18.45</v>
      </c>
    </row>
    <row r="895" spans="1:7" x14ac:dyDescent="0.3">
      <c r="A895" s="19">
        <v>45555551</v>
      </c>
      <c r="B895" s="19" t="s">
        <v>435</v>
      </c>
      <c r="C895" s="19"/>
      <c r="D895" s="19"/>
      <c r="E895" s="19"/>
      <c r="F895" s="19">
        <v>0</v>
      </c>
      <c r="G895" s="43">
        <v>10.15</v>
      </c>
    </row>
    <row r="896" spans="1:7" x14ac:dyDescent="0.3">
      <c r="A896" s="19">
        <v>46666662</v>
      </c>
      <c r="B896" s="19" t="s">
        <v>436</v>
      </c>
      <c r="C896" s="19"/>
      <c r="D896" s="19"/>
      <c r="E896" s="19"/>
      <c r="F896" s="19">
        <v>108</v>
      </c>
      <c r="G896" s="43">
        <v>24.7</v>
      </c>
    </row>
    <row r="897" spans="1:7" x14ac:dyDescent="0.3">
      <c r="A897" s="19">
        <v>47777773</v>
      </c>
      <c r="B897" s="19" t="s">
        <v>437</v>
      </c>
      <c r="C897" s="19"/>
      <c r="D897" s="19"/>
      <c r="E897" s="19"/>
      <c r="F897" s="19">
        <v>208</v>
      </c>
      <c r="G897" s="43">
        <v>20.14</v>
      </c>
    </row>
    <row r="898" spans="1:7" x14ac:dyDescent="0.3">
      <c r="A898" s="19">
        <v>48888884</v>
      </c>
      <c r="B898" s="19" t="s">
        <v>439</v>
      </c>
      <c r="C898" s="19"/>
      <c r="D898" s="19"/>
      <c r="E898" s="19"/>
      <c r="F898" s="19">
        <v>0</v>
      </c>
      <c r="G898" s="43">
        <v>8.0299999999999994</v>
      </c>
    </row>
    <row r="899" spans="1:7" x14ac:dyDescent="0.3">
      <c r="A899" s="19">
        <v>49999995</v>
      </c>
      <c r="B899" s="19" t="s">
        <v>440</v>
      </c>
      <c r="C899" s="19"/>
      <c r="D899" s="19"/>
      <c r="E899" s="19"/>
      <c r="F899" s="19">
        <v>0</v>
      </c>
      <c r="G899" s="43">
        <v>13.55</v>
      </c>
    </row>
    <row r="900" spans="1:7" x14ac:dyDescent="0.3">
      <c r="A900" s="19">
        <v>51111106</v>
      </c>
      <c r="B900" s="19" t="s">
        <v>441</v>
      </c>
      <c r="C900" s="19"/>
      <c r="D900" s="19"/>
      <c r="E900" s="19"/>
      <c r="F900" s="19">
        <v>0</v>
      </c>
      <c r="G900" s="43">
        <v>15.35</v>
      </c>
    </row>
    <row r="901" spans="1:7" x14ac:dyDescent="0.3">
      <c r="A901" s="19">
        <v>52222217</v>
      </c>
      <c r="B901" s="19" t="s">
        <v>1828</v>
      </c>
      <c r="C901" s="19"/>
      <c r="D901" s="19"/>
      <c r="E901" s="19"/>
      <c r="F901" s="19">
        <v>0</v>
      </c>
      <c r="G901" s="43">
        <v>10.37</v>
      </c>
    </row>
    <row r="902" spans="1:7" x14ac:dyDescent="0.3">
      <c r="A902" s="19">
        <v>53333328</v>
      </c>
      <c r="B902" s="19" t="s">
        <v>443</v>
      </c>
      <c r="C902" s="19"/>
      <c r="D902" s="19"/>
      <c r="E902" s="19"/>
      <c r="F902" s="19">
        <v>0</v>
      </c>
      <c r="G902" s="43">
        <v>6.41</v>
      </c>
    </row>
    <row r="903" spans="1:7" x14ac:dyDescent="0.3">
      <c r="A903" s="19">
        <v>54444439</v>
      </c>
      <c r="B903" s="19" t="s">
        <v>444</v>
      </c>
      <c r="C903" s="19"/>
      <c r="D903" s="19"/>
      <c r="E903" s="19"/>
      <c r="F903" s="19">
        <v>208</v>
      </c>
      <c r="G903" s="43">
        <v>14.79</v>
      </c>
    </row>
    <row r="904" spans="1:7" x14ac:dyDescent="0.3">
      <c r="A904" s="19">
        <v>55555550</v>
      </c>
      <c r="B904" s="19" t="s">
        <v>446</v>
      </c>
      <c r="C904" s="19"/>
      <c r="D904" s="19"/>
      <c r="E904" s="19"/>
      <c r="F904" s="19">
        <v>0</v>
      </c>
      <c r="G904" s="43">
        <v>22.53</v>
      </c>
    </row>
    <row r="905" spans="1:7" x14ac:dyDescent="0.3">
      <c r="A905" s="19">
        <v>56666661</v>
      </c>
      <c r="B905" s="19" t="s">
        <v>447</v>
      </c>
      <c r="C905" s="19"/>
      <c r="D905" s="19"/>
      <c r="E905" s="19"/>
      <c r="F905" s="19">
        <v>0</v>
      </c>
      <c r="G905" s="43">
        <v>9.1999999999999993</v>
      </c>
    </row>
    <row r="906" spans="1:7" x14ac:dyDescent="0.3">
      <c r="A906" s="19">
        <v>57777772</v>
      </c>
      <c r="B906" s="19" t="s">
        <v>1829</v>
      </c>
      <c r="C906" s="19"/>
      <c r="D906" s="19"/>
      <c r="E906" s="19"/>
      <c r="F906" s="19">
        <v>108</v>
      </c>
      <c r="G906" s="43">
        <v>20.170000000000002</v>
      </c>
    </row>
    <row r="907" spans="1:7" x14ac:dyDescent="0.3">
      <c r="A907" s="19">
        <v>58888883</v>
      </c>
      <c r="B907" s="19" t="s">
        <v>449</v>
      </c>
      <c r="C907" s="19"/>
      <c r="D907" s="19"/>
      <c r="E907" s="19"/>
      <c r="F907" s="19">
        <v>0</v>
      </c>
      <c r="G907" s="43">
        <v>13.22</v>
      </c>
    </row>
    <row r="908" spans="1:7" x14ac:dyDescent="0.3">
      <c r="A908" s="19">
        <v>59999994</v>
      </c>
      <c r="B908" s="19" t="s">
        <v>1830</v>
      </c>
      <c r="C908" s="19"/>
      <c r="D908" s="19"/>
      <c r="E908" s="19"/>
      <c r="F908" s="19">
        <v>0</v>
      </c>
      <c r="G908" s="43">
        <v>23.91</v>
      </c>
    </row>
    <row r="909" spans="1:7" x14ac:dyDescent="0.3">
      <c r="A909" s="19">
        <v>61111105</v>
      </c>
      <c r="B909" s="19" t="s">
        <v>451</v>
      </c>
      <c r="C909" s="19"/>
      <c r="D909" s="19"/>
      <c r="E909" s="19"/>
      <c r="F909" s="19">
        <v>0</v>
      </c>
      <c r="G909" s="43">
        <v>15.72</v>
      </c>
    </row>
    <row r="910" spans="1:7" x14ac:dyDescent="0.3">
      <c r="A910" s="19">
        <v>62222216</v>
      </c>
      <c r="B910" s="19" t="s">
        <v>1831</v>
      </c>
      <c r="C910" s="19"/>
      <c r="D910" s="19"/>
      <c r="E910" s="19"/>
      <c r="F910" s="19">
        <v>0</v>
      </c>
      <c r="G910" s="43">
        <v>22</v>
      </c>
    </row>
    <row r="911" spans="1:7" x14ac:dyDescent="0.3">
      <c r="A911" s="19">
        <v>63333327</v>
      </c>
      <c r="B911" s="19" t="s">
        <v>1832</v>
      </c>
      <c r="C911" s="19"/>
      <c r="D911" s="19"/>
      <c r="E911" s="19"/>
      <c r="F911" s="19">
        <v>0</v>
      </c>
      <c r="G911" s="43">
        <v>20.6</v>
      </c>
    </row>
    <row r="912" spans="1:7" x14ac:dyDescent="0.3">
      <c r="A912" s="19">
        <v>64444438</v>
      </c>
      <c r="B912" s="19" t="s">
        <v>454</v>
      </c>
      <c r="C912" s="19"/>
      <c r="D912" s="19"/>
      <c r="E912" s="19"/>
      <c r="F912" s="19">
        <v>500</v>
      </c>
      <c r="G912" s="43">
        <v>33</v>
      </c>
    </row>
    <row r="913" spans="1:7" x14ac:dyDescent="0.3">
      <c r="A913" s="19">
        <v>65555549</v>
      </c>
      <c r="B913" s="19" t="s">
        <v>1833</v>
      </c>
      <c r="C913" s="19"/>
      <c r="D913" s="19"/>
      <c r="E913" s="19"/>
      <c r="F913" s="19">
        <v>0</v>
      </c>
      <c r="G913" s="43">
        <v>27.5</v>
      </c>
    </row>
    <row r="914" spans="1:7" x14ac:dyDescent="0.3">
      <c r="A914" s="19">
        <v>66666660</v>
      </c>
      <c r="B914" s="19" t="s">
        <v>1834</v>
      </c>
      <c r="C914" s="19"/>
      <c r="D914" s="19"/>
      <c r="E914" s="19"/>
      <c r="F914" s="19">
        <v>0</v>
      </c>
      <c r="G914" s="43">
        <v>15.5</v>
      </c>
    </row>
    <row r="915" spans="1:7" x14ac:dyDescent="0.3">
      <c r="A915" s="19">
        <v>67777771</v>
      </c>
      <c r="B915" s="19" t="s">
        <v>457</v>
      </c>
      <c r="C915" s="19"/>
      <c r="D915" s="19"/>
      <c r="E915" s="19"/>
      <c r="F915" s="19">
        <v>0</v>
      </c>
      <c r="G915" s="43">
        <v>34.5</v>
      </c>
    </row>
    <row r="916" spans="1:7" x14ac:dyDescent="0.3">
      <c r="A916" s="19">
        <v>68888882</v>
      </c>
      <c r="B916" s="19" t="s">
        <v>458</v>
      </c>
      <c r="C916" s="19"/>
      <c r="D916" s="19"/>
      <c r="E916" s="19"/>
      <c r="F916" s="19">
        <v>0</v>
      </c>
      <c r="G916" s="43">
        <v>11.18</v>
      </c>
    </row>
    <row r="917" spans="1:7" x14ac:dyDescent="0.3">
      <c r="A917" s="19">
        <v>69999993</v>
      </c>
      <c r="B917" s="19" t="s">
        <v>1835</v>
      </c>
      <c r="C917" s="19"/>
      <c r="D917" s="19"/>
      <c r="E917" s="19"/>
      <c r="F917" s="19">
        <v>208</v>
      </c>
      <c r="G917" s="43">
        <v>49.5</v>
      </c>
    </row>
    <row r="918" spans="1:7" x14ac:dyDescent="0.3">
      <c r="A918" s="19">
        <v>71111104</v>
      </c>
      <c r="B918" s="19" t="s">
        <v>460</v>
      </c>
      <c r="C918" s="19"/>
      <c r="D918" s="19"/>
      <c r="E918" s="19"/>
      <c r="F918" s="19">
        <v>0</v>
      </c>
      <c r="G918" s="43">
        <v>11.62</v>
      </c>
    </row>
    <row r="919" spans="1:7" x14ac:dyDescent="0.3">
      <c r="A919" s="19">
        <v>72222215</v>
      </c>
      <c r="B919" s="19" t="s">
        <v>461</v>
      </c>
      <c r="C919" s="19"/>
      <c r="D919" s="19"/>
      <c r="E919" s="19"/>
      <c r="F919" s="19">
        <v>0</v>
      </c>
      <c r="G919" s="43">
        <v>12.87</v>
      </c>
    </row>
    <row r="920" spans="1:7" x14ac:dyDescent="0.3">
      <c r="A920" s="19">
        <v>73333326</v>
      </c>
      <c r="B920" s="19" t="s">
        <v>1836</v>
      </c>
      <c r="C920" s="19"/>
      <c r="D920" s="19"/>
      <c r="E920" s="19"/>
      <c r="F920" s="19">
        <v>208</v>
      </c>
      <c r="G920" s="43">
        <v>22.5</v>
      </c>
    </row>
    <row r="921" spans="1:7" x14ac:dyDescent="0.3">
      <c r="A921" s="19">
        <v>74444437</v>
      </c>
      <c r="B921" s="19" t="s">
        <v>1837</v>
      </c>
      <c r="C921" s="19"/>
      <c r="D921" s="19"/>
      <c r="E921" s="19"/>
      <c r="F921" s="19">
        <v>208</v>
      </c>
      <c r="G921" s="43">
        <v>15</v>
      </c>
    </row>
    <row r="922" spans="1:7" x14ac:dyDescent="0.3">
      <c r="A922" s="19">
        <v>75555548</v>
      </c>
      <c r="B922" s="19" t="s">
        <v>1838</v>
      </c>
      <c r="C922" s="19"/>
      <c r="D922" s="19"/>
      <c r="E922" s="19"/>
      <c r="F922" s="19">
        <v>0</v>
      </c>
      <c r="G922" s="43">
        <v>20.170000000000002</v>
      </c>
    </row>
    <row r="923" spans="1:7" x14ac:dyDescent="0.3">
      <c r="A923" s="19">
        <v>76666659</v>
      </c>
      <c r="B923" s="19" t="s">
        <v>1839</v>
      </c>
      <c r="C923" s="19"/>
      <c r="D923" s="19"/>
      <c r="E923" s="19"/>
      <c r="F923" s="19">
        <v>0</v>
      </c>
      <c r="G923" s="43">
        <v>38.25</v>
      </c>
    </row>
    <row r="924" spans="1:7" x14ac:dyDescent="0.3">
      <c r="A924" s="19">
        <v>77777770</v>
      </c>
      <c r="B924" s="19" t="s">
        <v>466</v>
      </c>
      <c r="C924" s="19"/>
      <c r="D924" s="19"/>
      <c r="E924" s="19"/>
      <c r="F924" s="19">
        <v>0</v>
      </c>
      <c r="G924" s="43">
        <v>20.75</v>
      </c>
    </row>
    <row r="925" spans="1:7" x14ac:dyDescent="0.3">
      <c r="A925" s="19">
        <v>78888881</v>
      </c>
      <c r="B925" s="19" t="s">
        <v>1840</v>
      </c>
      <c r="C925" s="19"/>
      <c r="D925" s="19"/>
      <c r="E925" s="19"/>
      <c r="F925" s="19">
        <v>0</v>
      </c>
      <c r="G925" s="43">
        <v>18.5</v>
      </c>
    </row>
    <row r="926" spans="1:7" x14ac:dyDescent="0.3">
      <c r="A926" s="19">
        <v>79999992</v>
      </c>
      <c r="B926" s="19" t="s">
        <v>1841</v>
      </c>
      <c r="C926" s="19"/>
      <c r="D926" s="19"/>
      <c r="E926" s="19"/>
      <c r="F926" s="19">
        <v>208</v>
      </c>
      <c r="G926" s="43">
        <v>30.24</v>
      </c>
    </row>
    <row r="927" spans="1:7" x14ac:dyDescent="0.3">
      <c r="A927" s="19">
        <v>81111103</v>
      </c>
      <c r="B927" s="19" t="s">
        <v>471</v>
      </c>
      <c r="C927" s="19"/>
      <c r="D927" s="19"/>
      <c r="E927" s="19"/>
      <c r="F927" s="19">
        <v>0</v>
      </c>
      <c r="G927" s="43">
        <v>5.56</v>
      </c>
    </row>
    <row r="928" spans="1:7" x14ac:dyDescent="0.3">
      <c r="A928" s="19">
        <v>82222214</v>
      </c>
      <c r="B928" s="19" t="s">
        <v>472</v>
      </c>
      <c r="C928" s="19"/>
      <c r="D928" s="19"/>
      <c r="E928" s="19"/>
      <c r="F928" s="19">
        <v>0</v>
      </c>
      <c r="G928" s="43">
        <v>10.95</v>
      </c>
    </row>
    <row r="929" spans="1:7" x14ac:dyDescent="0.3">
      <c r="A929" s="19">
        <v>3461</v>
      </c>
      <c r="B929" s="19" t="s">
        <v>1842</v>
      </c>
      <c r="C929" s="19" t="s">
        <v>774</v>
      </c>
      <c r="D929" s="19" t="s">
        <v>854</v>
      </c>
      <c r="E929" s="19" t="s">
        <v>815</v>
      </c>
      <c r="F929" s="19">
        <v>0</v>
      </c>
      <c r="G929" s="43">
        <v>37.9</v>
      </c>
    </row>
    <row r="930" spans="1:7" x14ac:dyDescent="0.3">
      <c r="A930" s="19">
        <v>8</v>
      </c>
      <c r="B930" s="19" t="s">
        <v>1843</v>
      </c>
      <c r="C930" s="19" t="s">
        <v>774</v>
      </c>
      <c r="D930" s="19" t="s">
        <v>966</v>
      </c>
      <c r="E930" s="19" t="s">
        <v>815</v>
      </c>
      <c r="F930" s="19">
        <v>0</v>
      </c>
      <c r="G930" s="43">
        <v>58</v>
      </c>
    </row>
    <row r="931" spans="1:7" x14ac:dyDescent="0.3">
      <c r="A931" s="19">
        <v>1930</v>
      </c>
      <c r="B931" s="19" t="s">
        <v>1844</v>
      </c>
      <c r="C931" s="19" t="s">
        <v>1766</v>
      </c>
      <c r="D931" s="19" t="s">
        <v>1845</v>
      </c>
      <c r="E931" s="19" t="s">
        <v>1058</v>
      </c>
      <c r="F931" s="19">
        <v>0</v>
      </c>
      <c r="G931" s="43">
        <v>598.78</v>
      </c>
    </row>
    <row r="932" spans="1:7" x14ac:dyDescent="0.3">
      <c r="A932" s="19">
        <v>139</v>
      </c>
      <c r="B932" s="19" t="s">
        <v>1846</v>
      </c>
      <c r="C932" s="19" t="s">
        <v>807</v>
      </c>
      <c r="D932" s="19" t="s">
        <v>1847</v>
      </c>
      <c r="E932" s="19" t="s">
        <v>815</v>
      </c>
      <c r="F932" s="19">
        <v>0</v>
      </c>
      <c r="G932" s="43">
        <v>33</v>
      </c>
    </row>
    <row r="933" spans="1:7" x14ac:dyDescent="0.3">
      <c r="A933" s="19">
        <v>129</v>
      </c>
      <c r="B933" s="19" t="s">
        <v>1848</v>
      </c>
      <c r="C933" s="19" t="s">
        <v>807</v>
      </c>
      <c r="D933" s="19" t="s">
        <v>1847</v>
      </c>
      <c r="E933" s="19" t="s">
        <v>815</v>
      </c>
      <c r="F933" s="19">
        <v>0</v>
      </c>
      <c r="G933" s="43">
        <v>33</v>
      </c>
    </row>
    <row r="934" spans="1:7" x14ac:dyDescent="0.3">
      <c r="A934" s="19">
        <v>140</v>
      </c>
      <c r="B934" s="19" t="s">
        <v>1849</v>
      </c>
      <c r="C934" s="19" t="s">
        <v>807</v>
      </c>
      <c r="D934" s="19" t="s">
        <v>1847</v>
      </c>
      <c r="E934" s="19" t="s">
        <v>815</v>
      </c>
      <c r="F934" s="19">
        <v>0</v>
      </c>
      <c r="G934" s="43">
        <v>33</v>
      </c>
    </row>
    <row r="935" spans="1:7" x14ac:dyDescent="0.3">
      <c r="A935" s="19">
        <v>4058</v>
      </c>
      <c r="B935" s="19" t="s">
        <v>1850</v>
      </c>
      <c r="C935" s="19" t="s">
        <v>807</v>
      </c>
      <c r="D935" s="19" t="s">
        <v>1851</v>
      </c>
      <c r="E935" s="19" t="s">
        <v>815</v>
      </c>
      <c r="F935" s="19">
        <v>0</v>
      </c>
      <c r="G935" s="43">
        <v>1098.23</v>
      </c>
    </row>
    <row r="936" spans="1:7" x14ac:dyDescent="0.3">
      <c r="A936" s="19">
        <v>4065</v>
      </c>
      <c r="B936" s="19" t="s">
        <v>1852</v>
      </c>
      <c r="C936" s="19" t="s">
        <v>774</v>
      </c>
      <c r="D936" s="19" t="s">
        <v>939</v>
      </c>
      <c r="E936" s="19" t="s">
        <v>815</v>
      </c>
      <c r="F936" s="19">
        <v>0</v>
      </c>
      <c r="G936" s="43">
        <v>305.37</v>
      </c>
    </row>
    <row r="937" spans="1:7" x14ac:dyDescent="0.3">
      <c r="A937" s="19">
        <v>370</v>
      </c>
      <c r="B937" s="19" t="s">
        <v>1853</v>
      </c>
      <c r="C937" s="19" t="s">
        <v>1338</v>
      </c>
      <c r="D937" s="19" t="s">
        <v>814</v>
      </c>
      <c r="E937" s="19" t="s">
        <v>815</v>
      </c>
      <c r="F937" s="19">
        <v>1</v>
      </c>
      <c r="G937" s="43">
        <v>953.8</v>
      </c>
    </row>
    <row r="938" spans="1:7" x14ac:dyDescent="0.3">
      <c r="A938" s="19">
        <v>4084</v>
      </c>
      <c r="B938" s="19" t="s">
        <v>1854</v>
      </c>
      <c r="C938" s="19" t="s">
        <v>807</v>
      </c>
      <c r="D938" s="19" t="s">
        <v>1847</v>
      </c>
      <c r="E938" s="19" t="s">
        <v>815</v>
      </c>
      <c r="F938" s="19">
        <v>1</v>
      </c>
      <c r="G938" s="43">
        <v>800</v>
      </c>
    </row>
    <row r="939" spans="1:7" x14ac:dyDescent="0.3">
      <c r="A939" s="19">
        <v>4078</v>
      </c>
      <c r="B939" s="19" t="s">
        <v>1855</v>
      </c>
      <c r="C939" s="19" t="s">
        <v>774</v>
      </c>
      <c r="D939" s="19" t="s">
        <v>1851</v>
      </c>
      <c r="E939" s="19" t="s">
        <v>815</v>
      </c>
      <c r="F939" s="19">
        <v>0</v>
      </c>
      <c r="G939" s="43">
        <v>331.3</v>
      </c>
    </row>
    <row r="940" spans="1:7" x14ac:dyDescent="0.3">
      <c r="A940" s="19">
        <v>4090</v>
      </c>
      <c r="B940" s="19" t="s">
        <v>1856</v>
      </c>
      <c r="C940" s="19" t="s">
        <v>1338</v>
      </c>
      <c r="D940" s="19" t="s">
        <v>814</v>
      </c>
      <c r="E940" s="19" t="s">
        <v>815</v>
      </c>
      <c r="F940" s="19">
        <v>1</v>
      </c>
      <c r="G940" s="43">
        <v>474.32</v>
      </c>
    </row>
    <row r="941" spans="1:7" x14ac:dyDescent="0.3">
      <c r="A941" s="19">
        <v>440</v>
      </c>
      <c r="B941" s="19" t="s">
        <v>1857</v>
      </c>
      <c r="C941" s="19" t="s">
        <v>1242</v>
      </c>
      <c r="D941" s="19" t="s">
        <v>1858</v>
      </c>
      <c r="E941" s="19" t="s">
        <v>815</v>
      </c>
      <c r="F941" s="19">
        <v>0</v>
      </c>
      <c r="G941" s="43">
        <v>100.31</v>
      </c>
    </row>
    <row r="942" spans="1:7" x14ac:dyDescent="0.3">
      <c r="A942" s="19">
        <v>19</v>
      </c>
      <c r="B942" s="19" t="s">
        <v>1859</v>
      </c>
      <c r="C942" s="19" t="s">
        <v>899</v>
      </c>
      <c r="D942" s="19" t="s">
        <v>1860</v>
      </c>
      <c r="E942" s="19" t="s">
        <v>815</v>
      </c>
      <c r="F942" s="19">
        <v>20000</v>
      </c>
      <c r="G942" s="43">
        <v>106.95</v>
      </c>
    </row>
    <row r="943" spans="1:7" x14ac:dyDescent="0.3">
      <c r="A943" s="19">
        <v>181</v>
      </c>
      <c r="B943" s="19" t="s">
        <v>1861</v>
      </c>
      <c r="C943" s="19" t="s">
        <v>774</v>
      </c>
      <c r="D943" s="19" t="s">
        <v>1862</v>
      </c>
      <c r="E943" s="19" t="s">
        <v>815</v>
      </c>
      <c r="F943" s="19">
        <v>0</v>
      </c>
      <c r="G943" s="43">
        <v>2049.3000000000002</v>
      </c>
    </row>
    <row r="944" spans="1:7" x14ac:dyDescent="0.3">
      <c r="A944" s="19">
        <v>1353</v>
      </c>
      <c r="B944" s="19" t="s">
        <v>1863</v>
      </c>
      <c r="C944" s="19" t="s">
        <v>774</v>
      </c>
      <c r="D944" s="19" t="s">
        <v>775</v>
      </c>
      <c r="E944" s="19" t="s">
        <v>784</v>
      </c>
      <c r="F944" s="19">
        <v>0</v>
      </c>
      <c r="G944" s="43">
        <v>1027</v>
      </c>
    </row>
    <row r="945" spans="1:7" x14ac:dyDescent="0.3">
      <c r="A945" s="19">
        <v>1637</v>
      </c>
      <c r="B945" s="19" t="s">
        <v>1864</v>
      </c>
      <c r="C945" s="19" t="s">
        <v>774</v>
      </c>
      <c r="D945" s="19" t="s">
        <v>775</v>
      </c>
      <c r="E945" s="19" t="s">
        <v>784</v>
      </c>
      <c r="F945" s="19">
        <v>0</v>
      </c>
      <c r="G945" s="43">
        <v>1487.34</v>
      </c>
    </row>
    <row r="946" spans="1:7" x14ac:dyDescent="0.3">
      <c r="A946" s="19">
        <v>756</v>
      </c>
      <c r="B946" s="19" t="s">
        <v>1865</v>
      </c>
      <c r="C946" s="19" t="s">
        <v>774</v>
      </c>
      <c r="D946" s="19" t="s">
        <v>778</v>
      </c>
      <c r="E946" s="19" t="s">
        <v>784</v>
      </c>
      <c r="F946" s="19">
        <v>0.45300000000000001</v>
      </c>
      <c r="G946" s="43">
        <v>3165.25</v>
      </c>
    </row>
    <row r="947" spans="1:7" x14ac:dyDescent="0.3">
      <c r="A947" s="19">
        <v>2216</v>
      </c>
      <c r="B947" s="19" t="s">
        <v>1866</v>
      </c>
      <c r="C947" s="19" t="s">
        <v>781</v>
      </c>
      <c r="D947" s="19" t="s">
        <v>775</v>
      </c>
      <c r="E947" s="19" t="s">
        <v>784</v>
      </c>
      <c r="F947" s="19">
        <v>0</v>
      </c>
      <c r="G947" s="43">
        <v>1.43</v>
      </c>
    </row>
    <row r="948" spans="1:7" x14ac:dyDescent="0.3">
      <c r="A948" s="19">
        <v>2218</v>
      </c>
      <c r="B948" s="19" t="s">
        <v>1867</v>
      </c>
      <c r="C948" s="19" t="s">
        <v>774</v>
      </c>
      <c r="D948" s="19" t="s">
        <v>775</v>
      </c>
      <c r="E948" s="19" t="s">
        <v>784</v>
      </c>
      <c r="F948" s="19">
        <v>0</v>
      </c>
      <c r="G948" s="43">
        <v>752.14</v>
      </c>
    </row>
    <row r="949" spans="1:7" x14ac:dyDescent="0.3">
      <c r="A949" s="19">
        <v>2222</v>
      </c>
      <c r="B949" s="19" t="s">
        <v>1868</v>
      </c>
      <c r="C949" s="19" t="s">
        <v>774</v>
      </c>
      <c r="D949" s="19" t="s">
        <v>775</v>
      </c>
      <c r="E949" s="19" t="s">
        <v>784</v>
      </c>
      <c r="F949" s="19">
        <v>0</v>
      </c>
      <c r="G949" s="43">
        <v>1610.05</v>
      </c>
    </row>
    <row r="950" spans="1:7" x14ac:dyDescent="0.3">
      <c r="A950" s="19">
        <v>241</v>
      </c>
      <c r="B950" s="19" t="s">
        <v>1869</v>
      </c>
      <c r="C950" s="19" t="s">
        <v>774</v>
      </c>
      <c r="D950" s="19" t="s">
        <v>778</v>
      </c>
      <c r="E950" s="19" t="s">
        <v>784</v>
      </c>
      <c r="F950" s="19">
        <v>1</v>
      </c>
      <c r="G950" s="43">
        <v>674.77</v>
      </c>
    </row>
    <row r="951" spans="1:7" x14ac:dyDescent="0.3">
      <c r="A951" s="19">
        <v>623</v>
      </c>
      <c r="B951" s="19" t="s">
        <v>1870</v>
      </c>
      <c r="C951" s="19" t="s">
        <v>774</v>
      </c>
      <c r="D951" s="19" t="s">
        <v>786</v>
      </c>
      <c r="E951" s="19" t="s">
        <v>784</v>
      </c>
      <c r="F951" s="19">
        <v>1</v>
      </c>
      <c r="G951" s="43">
        <v>964.88</v>
      </c>
    </row>
    <row r="952" spans="1:7" x14ac:dyDescent="0.3">
      <c r="A952" s="19">
        <v>393</v>
      </c>
      <c r="B952" s="19" t="s">
        <v>1871</v>
      </c>
      <c r="C952" s="19" t="s">
        <v>774</v>
      </c>
      <c r="D952" s="19" t="s">
        <v>786</v>
      </c>
      <c r="E952" s="19" t="s">
        <v>784</v>
      </c>
      <c r="F952" s="19">
        <v>0</v>
      </c>
      <c r="G952" s="43">
        <v>1688.16</v>
      </c>
    </row>
    <row r="953" spans="1:7" x14ac:dyDescent="0.3">
      <c r="A953" s="19">
        <v>1070</v>
      </c>
      <c r="B953" s="19" t="s">
        <v>1872</v>
      </c>
      <c r="C953" s="19" t="s">
        <v>774</v>
      </c>
      <c r="D953" s="19" t="s">
        <v>775</v>
      </c>
      <c r="E953" s="19" t="s">
        <v>784</v>
      </c>
      <c r="F953" s="19">
        <v>0</v>
      </c>
      <c r="G953" s="43">
        <v>1040</v>
      </c>
    </row>
    <row r="954" spans="1:7" x14ac:dyDescent="0.3">
      <c r="A954" s="19">
        <v>1397</v>
      </c>
      <c r="B954" s="19" t="s">
        <v>1873</v>
      </c>
      <c r="C954" s="19" t="s">
        <v>774</v>
      </c>
      <c r="D954" s="19" t="s">
        <v>775</v>
      </c>
      <c r="E954" s="19" t="s">
        <v>784</v>
      </c>
      <c r="F954" s="19">
        <v>0</v>
      </c>
      <c r="G954" s="43">
        <v>566</v>
      </c>
    </row>
    <row r="955" spans="1:7" x14ac:dyDescent="0.3">
      <c r="A955" s="19">
        <v>279</v>
      </c>
      <c r="B955" s="19" t="s">
        <v>1874</v>
      </c>
      <c r="C955" s="19" t="s">
        <v>774</v>
      </c>
      <c r="D955" s="19" t="s">
        <v>794</v>
      </c>
      <c r="E955" s="19" t="s">
        <v>784</v>
      </c>
      <c r="F955" s="19">
        <v>1</v>
      </c>
      <c r="G955" s="43">
        <v>911</v>
      </c>
    </row>
    <row r="956" spans="1:7" x14ac:dyDescent="0.3">
      <c r="A956" s="19">
        <v>759</v>
      </c>
      <c r="B956" s="19" t="s">
        <v>1875</v>
      </c>
      <c r="C956" s="19" t="s">
        <v>774</v>
      </c>
      <c r="D956" s="19" t="s">
        <v>794</v>
      </c>
      <c r="E956" s="19" t="s">
        <v>784</v>
      </c>
      <c r="F956" s="19">
        <v>1</v>
      </c>
      <c r="G956" s="43">
        <v>466.4</v>
      </c>
    </row>
    <row r="957" spans="1:7" x14ac:dyDescent="0.3">
      <c r="A957" s="19">
        <v>397</v>
      </c>
      <c r="B957" s="19" t="s">
        <v>1876</v>
      </c>
      <c r="C957" s="19" t="s">
        <v>774</v>
      </c>
      <c r="D957" s="19" t="s">
        <v>794</v>
      </c>
      <c r="E957" s="19" t="s">
        <v>784</v>
      </c>
      <c r="F957" s="19">
        <v>1</v>
      </c>
      <c r="G957" s="43">
        <v>386.25</v>
      </c>
    </row>
    <row r="958" spans="1:7" x14ac:dyDescent="0.3">
      <c r="A958" s="19">
        <v>1820</v>
      </c>
      <c r="B958" s="19" t="s">
        <v>1877</v>
      </c>
      <c r="C958" s="19" t="s">
        <v>774</v>
      </c>
      <c r="D958" s="19" t="s">
        <v>1525</v>
      </c>
      <c r="E958" s="19" t="s">
        <v>784</v>
      </c>
      <c r="F958" s="19">
        <v>0</v>
      </c>
      <c r="G958" s="43">
        <v>629.03</v>
      </c>
    </row>
    <row r="959" spans="1:7" x14ac:dyDescent="0.3">
      <c r="A959" s="19">
        <v>91</v>
      </c>
      <c r="B959" s="19" t="s">
        <v>1878</v>
      </c>
      <c r="C959" s="19" t="s">
        <v>807</v>
      </c>
      <c r="D959" s="19" t="s">
        <v>1554</v>
      </c>
      <c r="E959" s="19" t="s">
        <v>784</v>
      </c>
      <c r="F959" s="19">
        <v>1</v>
      </c>
      <c r="G959" s="43">
        <v>2500</v>
      </c>
    </row>
    <row r="960" spans="1:7" x14ac:dyDescent="0.3">
      <c r="A960" s="19">
        <v>1910</v>
      </c>
      <c r="B960" s="19" t="s">
        <v>1879</v>
      </c>
      <c r="C960" s="19" t="s">
        <v>774</v>
      </c>
      <c r="D960" s="19" t="s">
        <v>808</v>
      </c>
      <c r="E960" s="19" t="s">
        <v>784</v>
      </c>
      <c r="F960" s="19">
        <v>0</v>
      </c>
      <c r="G960" s="43">
        <v>2000</v>
      </c>
    </row>
    <row r="961" spans="1:7" x14ac:dyDescent="0.3">
      <c r="A961" s="19">
        <v>1635</v>
      </c>
      <c r="B961" s="19" t="s">
        <v>1880</v>
      </c>
      <c r="C961" s="19" t="s">
        <v>807</v>
      </c>
      <c r="D961" s="19" t="s">
        <v>1881</v>
      </c>
      <c r="E961" s="19" t="s">
        <v>784</v>
      </c>
      <c r="F961" s="19">
        <v>1</v>
      </c>
      <c r="G961" s="43">
        <v>671.67</v>
      </c>
    </row>
    <row r="962" spans="1:7" x14ac:dyDescent="0.3">
      <c r="A962" s="19">
        <v>3788</v>
      </c>
      <c r="B962" s="19" t="s">
        <v>1882</v>
      </c>
      <c r="C962" s="19" t="s">
        <v>899</v>
      </c>
      <c r="D962" s="19" t="s">
        <v>939</v>
      </c>
      <c r="E962" s="19" t="s">
        <v>882</v>
      </c>
      <c r="F962" s="19">
        <v>0</v>
      </c>
      <c r="G962" s="43">
        <v>3.19</v>
      </c>
    </row>
    <row r="963" spans="1:7" x14ac:dyDescent="0.3">
      <c r="A963" s="19">
        <v>596</v>
      </c>
      <c r="B963" s="19" t="s">
        <v>1883</v>
      </c>
      <c r="C963" s="19" t="s">
        <v>774</v>
      </c>
      <c r="D963" s="19" t="s">
        <v>786</v>
      </c>
      <c r="E963" s="19" t="s">
        <v>784</v>
      </c>
      <c r="F963" s="19">
        <v>0</v>
      </c>
      <c r="G963" s="43">
        <v>546.11</v>
      </c>
    </row>
    <row r="964" spans="1:7" x14ac:dyDescent="0.3">
      <c r="A964" s="19">
        <v>1395</v>
      </c>
      <c r="B964" s="19" t="s">
        <v>1884</v>
      </c>
      <c r="C964" s="19" t="s">
        <v>774</v>
      </c>
      <c r="D964" s="19" t="s">
        <v>775</v>
      </c>
      <c r="E964" s="19" t="s">
        <v>784</v>
      </c>
      <c r="F964" s="19">
        <v>0</v>
      </c>
      <c r="G964" s="43">
        <v>1646</v>
      </c>
    </row>
    <row r="965" spans="1:7" x14ac:dyDescent="0.3">
      <c r="A965" s="19">
        <v>299</v>
      </c>
      <c r="B965" s="19" t="s">
        <v>1885</v>
      </c>
      <c r="C965" s="19" t="s">
        <v>774</v>
      </c>
      <c r="D965" s="19" t="s">
        <v>778</v>
      </c>
      <c r="E965" s="19" t="s">
        <v>784</v>
      </c>
      <c r="F965" s="19">
        <v>0</v>
      </c>
      <c r="G965" s="43">
        <v>3559.24</v>
      </c>
    </row>
    <row r="966" spans="1:7" x14ac:dyDescent="0.3">
      <c r="A966" s="19">
        <v>1339</v>
      </c>
      <c r="B966" s="19" t="s">
        <v>1886</v>
      </c>
      <c r="C966" s="19" t="s">
        <v>774</v>
      </c>
      <c r="D966" s="19" t="s">
        <v>775</v>
      </c>
      <c r="E966" s="19" t="s">
        <v>784</v>
      </c>
      <c r="F966" s="19">
        <v>0.45300000000000001</v>
      </c>
      <c r="G966" s="43">
        <v>4723.3599999999997</v>
      </c>
    </row>
    <row r="967" spans="1:7" x14ac:dyDescent="0.3">
      <c r="A967" s="19">
        <v>342</v>
      </c>
      <c r="B967" s="19" t="s">
        <v>1887</v>
      </c>
      <c r="C967" s="19" t="s">
        <v>774</v>
      </c>
      <c r="D967" s="19" t="s">
        <v>775</v>
      </c>
      <c r="E967" s="19" t="s">
        <v>784</v>
      </c>
      <c r="F967" s="19">
        <v>0</v>
      </c>
      <c r="G967" s="43">
        <v>1330</v>
      </c>
    </row>
    <row r="968" spans="1:7" x14ac:dyDescent="0.3">
      <c r="A968" s="19">
        <v>731</v>
      </c>
      <c r="B968" s="19" t="s">
        <v>1888</v>
      </c>
      <c r="C968" s="19" t="s">
        <v>774</v>
      </c>
      <c r="D968" s="19" t="s">
        <v>778</v>
      </c>
      <c r="E968" s="19" t="s">
        <v>784</v>
      </c>
      <c r="F968" s="19">
        <v>1</v>
      </c>
      <c r="G968" s="43">
        <v>1096.31</v>
      </c>
    </row>
    <row r="969" spans="1:7" x14ac:dyDescent="0.3">
      <c r="A969" s="19">
        <v>1350</v>
      </c>
      <c r="B969" s="19" t="s">
        <v>1889</v>
      </c>
      <c r="C969" s="19" t="s">
        <v>774</v>
      </c>
      <c r="D969" s="19" t="s">
        <v>783</v>
      </c>
      <c r="E969" s="19" t="s">
        <v>784</v>
      </c>
      <c r="F969" s="19">
        <v>0</v>
      </c>
      <c r="G969" s="43">
        <v>16687</v>
      </c>
    </row>
    <row r="970" spans="1:7" x14ac:dyDescent="0.3">
      <c r="A970" s="19">
        <v>1461</v>
      </c>
      <c r="B970" s="19" t="s">
        <v>1890</v>
      </c>
      <c r="C970" s="19" t="s">
        <v>774</v>
      </c>
      <c r="D970" s="19" t="s">
        <v>783</v>
      </c>
      <c r="E970" s="19" t="s">
        <v>784</v>
      </c>
      <c r="F970" s="19">
        <v>0</v>
      </c>
      <c r="G970" s="43">
        <v>13184.4</v>
      </c>
    </row>
    <row r="971" spans="1:7" x14ac:dyDescent="0.3">
      <c r="A971" s="19">
        <v>634</v>
      </c>
      <c r="B971" s="19" t="s">
        <v>1891</v>
      </c>
      <c r="C971" s="19" t="s">
        <v>774</v>
      </c>
      <c r="D971" s="19" t="s">
        <v>786</v>
      </c>
      <c r="E971" s="19" t="s">
        <v>784</v>
      </c>
      <c r="F971" s="19">
        <v>1</v>
      </c>
      <c r="G971" s="43">
        <v>648.89</v>
      </c>
    </row>
    <row r="972" spans="1:7" x14ac:dyDescent="0.3">
      <c r="A972" s="19">
        <v>2102</v>
      </c>
      <c r="B972" s="19" t="s">
        <v>1892</v>
      </c>
      <c r="C972" s="19" t="s">
        <v>807</v>
      </c>
      <c r="D972" s="19" t="s">
        <v>808</v>
      </c>
      <c r="E972" s="19" t="s">
        <v>784</v>
      </c>
      <c r="F972" s="19">
        <v>0</v>
      </c>
      <c r="G972" s="43">
        <v>2000</v>
      </c>
    </row>
    <row r="973" spans="1:7" x14ac:dyDescent="0.3">
      <c r="A973" s="19">
        <v>310</v>
      </c>
      <c r="B973" s="19" t="s">
        <v>1893</v>
      </c>
      <c r="C973" s="19" t="s">
        <v>807</v>
      </c>
      <c r="D973" s="19" t="s">
        <v>808</v>
      </c>
      <c r="E973" s="19" t="s">
        <v>784</v>
      </c>
      <c r="F973" s="19">
        <v>0</v>
      </c>
      <c r="G973" s="43">
        <v>2000</v>
      </c>
    </row>
    <row r="974" spans="1:7" x14ac:dyDescent="0.3">
      <c r="A974" s="19">
        <v>291</v>
      </c>
      <c r="B974" s="19" t="s">
        <v>1894</v>
      </c>
      <c r="C974" s="19" t="s">
        <v>774</v>
      </c>
      <c r="D974" s="19" t="s">
        <v>778</v>
      </c>
      <c r="E974" s="19" t="s">
        <v>784</v>
      </c>
      <c r="F974" s="19">
        <v>0</v>
      </c>
      <c r="G974" s="43">
        <v>3431.43</v>
      </c>
    </row>
    <row r="975" spans="1:7" x14ac:dyDescent="0.3">
      <c r="A975" s="19">
        <v>773</v>
      </c>
      <c r="B975" s="19" t="s">
        <v>1895</v>
      </c>
      <c r="C975" s="19" t="s">
        <v>774</v>
      </c>
      <c r="D975" s="19" t="s">
        <v>778</v>
      </c>
      <c r="E975" s="19" t="s">
        <v>784</v>
      </c>
      <c r="F975" s="19">
        <v>0</v>
      </c>
      <c r="G975" s="43">
        <v>2240.29</v>
      </c>
    </row>
    <row r="976" spans="1:7" x14ac:dyDescent="0.3">
      <c r="A976" s="19">
        <v>337</v>
      </c>
      <c r="B976" s="19" t="s">
        <v>1896</v>
      </c>
      <c r="C976" s="19" t="s">
        <v>774</v>
      </c>
      <c r="D976" s="19" t="s">
        <v>775</v>
      </c>
      <c r="E976" s="19" t="s">
        <v>784</v>
      </c>
      <c r="F976" s="19">
        <v>0.45300000000000001</v>
      </c>
      <c r="G976" s="43">
        <v>765.81</v>
      </c>
    </row>
    <row r="977" spans="1:7" x14ac:dyDescent="0.3">
      <c r="A977" s="19">
        <v>1826</v>
      </c>
      <c r="B977" s="19" t="s">
        <v>1897</v>
      </c>
      <c r="C977" s="19" t="s">
        <v>774</v>
      </c>
      <c r="D977" s="19" t="s">
        <v>778</v>
      </c>
      <c r="E977" s="19" t="s">
        <v>784</v>
      </c>
      <c r="F977" s="19">
        <v>0</v>
      </c>
      <c r="G977" s="43">
        <v>5822.7</v>
      </c>
    </row>
    <row r="978" spans="1:7" x14ac:dyDescent="0.3">
      <c r="A978" s="19">
        <v>2914</v>
      </c>
      <c r="B978" s="19" t="s">
        <v>1898</v>
      </c>
      <c r="C978" s="19" t="s">
        <v>807</v>
      </c>
      <c r="D978" s="19" t="s">
        <v>808</v>
      </c>
      <c r="E978" s="19" t="s">
        <v>784</v>
      </c>
      <c r="F978" s="19">
        <v>0</v>
      </c>
      <c r="G978" s="43">
        <v>2000</v>
      </c>
    </row>
    <row r="979" spans="1:7" x14ac:dyDescent="0.3">
      <c r="A979" s="19">
        <v>1358</v>
      </c>
      <c r="B979" s="19" t="s">
        <v>1899</v>
      </c>
      <c r="C979" s="19" t="s">
        <v>774</v>
      </c>
      <c r="D979" s="19" t="s">
        <v>775</v>
      </c>
      <c r="E979" s="19" t="s">
        <v>784</v>
      </c>
      <c r="F979" s="19">
        <v>0</v>
      </c>
      <c r="G979" s="43">
        <v>2347.59</v>
      </c>
    </row>
    <row r="980" spans="1:7" x14ac:dyDescent="0.3">
      <c r="A980" s="19">
        <v>387</v>
      </c>
      <c r="B980" s="19" t="s">
        <v>1900</v>
      </c>
      <c r="C980" s="19" t="s">
        <v>774</v>
      </c>
      <c r="D980" s="19" t="s">
        <v>786</v>
      </c>
      <c r="E980" s="19" t="s">
        <v>784</v>
      </c>
      <c r="F980" s="19">
        <v>0</v>
      </c>
      <c r="G980" s="43">
        <v>873.78</v>
      </c>
    </row>
    <row r="981" spans="1:7" x14ac:dyDescent="0.3">
      <c r="A981" s="19">
        <v>2156</v>
      </c>
      <c r="B981" s="19" t="s">
        <v>1901</v>
      </c>
      <c r="C981" s="19" t="s">
        <v>774</v>
      </c>
      <c r="D981" s="19" t="s">
        <v>788</v>
      </c>
      <c r="E981" s="19" t="s">
        <v>784</v>
      </c>
      <c r="F981" s="19">
        <v>0</v>
      </c>
      <c r="G981" s="43">
        <v>0</v>
      </c>
    </row>
    <row r="982" spans="1:7" x14ac:dyDescent="0.3">
      <c r="A982" s="19">
        <v>1338</v>
      </c>
      <c r="B982" s="19" t="s">
        <v>1902</v>
      </c>
      <c r="C982" s="19" t="s">
        <v>774</v>
      </c>
      <c r="D982" s="19" t="s">
        <v>775</v>
      </c>
      <c r="E982" s="19" t="s">
        <v>784</v>
      </c>
      <c r="F982" s="19">
        <v>0</v>
      </c>
      <c r="G982" s="43">
        <v>1580</v>
      </c>
    </row>
    <row r="983" spans="1:7" x14ac:dyDescent="0.3">
      <c r="A983" s="19">
        <v>243</v>
      </c>
      <c r="B983" s="19" t="s">
        <v>1903</v>
      </c>
      <c r="C983" s="19" t="s">
        <v>774</v>
      </c>
      <c r="D983" s="19" t="s">
        <v>778</v>
      </c>
      <c r="E983" s="19" t="s">
        <v>784</v>
      </c>
      <c r="F983" s="19">
        <v>0</v>
      </c>
      <c r="G983" s="43">
        <v>1115.4000000000001</v>
      </c>
    </row>
    <row r="984" spans="1:7" x14ac:dyDescent="0.3">
      <c r="A984" s="19">
        <v>2915</v>
      </c>
      <c r="B984" s="19" t="s">
        <v>1904</v>
      </c>
      <c r="C984" s="19" t="s">
        <v>807</v>
      </c>
      <c r="D984" s="19" t="s">
        <v>808</v>
      </c>
      <c r="E984" s="19" t="s">
        <v>784</v>
      </c>
      <c r="F984" s="19">
        <v>0</v>
      </c>
      <c r="G984" s="43">
        <v>0</v>
      </c>
    </row>
    <row r="985" spans="1:7" x14ac:dyDescent="0.3">
      <c r="A985" s="19">
        <v>1454</v>
      </c>
      <c r="B985" s="19" t="s">
        <v>1905</v>
      </c>
      <c r="C985" s="19" t="s">
        <v>774</v>
      </c>
      <c r="D985" s="19" t="s">
        <v>783</v>
      </c>
      <c r="E985" s="19" t="s">
        <v>784</v>
      </c>
      <c r="F985" s="19">
        <v>0</v>
      </c>
      <c r="G985" s="43">
        <v>11374.57</v>
      </c>
    </row>
    <row r="986" spans="1:7" x14ac:dyDescent="0.3">
      <c r="A986" s="19">
        <v>1366</v>
      </c>
      <c r="B986" s="19" t="s">
        <v>1906</v>
      </c>
      <c r="C986" s="19" t="s">
        <v>774</v>
      </c>
      <c r="D986" s="19" t="s">
        <v>775</v>
      </c>
      <c r="E986" s="19" t="s">
        <v>784</v>
      </c>
      <c r="F986" s="19">
        <v>0</v>
      </c>
      <c r="G986" s="43">
        <v>42563</v>
      </c>
    </row>
    <row r="987" spans="1:7" x14ac:dyDescent="0.3">
      <c r="A987" s="19">
        <v>1636</v>
      </c>
      <c r="B987" s="19" t="s">
        <v>1907</v>
      </c>
      <c r="C987" s="19" t="s">
        <v>774</v>
      </c>
      <c r="D987" s="19" t="s">
        <v>778</v>
      </c>
      <c r="E987" s="19" t="s">
        <v>784</v>
      </c>
      <c r="F987" s="19">
        <v>0</v>
      </c>
      <c r="G987" s="43">
        <v>1560</v>
      </c>
    </row>
    <row r="988" spans="1:7" x14ac:dyDescent="0.3">
      <c r="A988" s="19">
        <v>1399</v>
      </c>
      <c r="B988" s="19" t="s">
        <v>1908</v>
      </c>
      <c r="C988" s="19" t="s">
        <v>774</v>
      </c>
      <c r="D988" s="19" t="s">
        <v>775</v>
      </c>
      <c r="E988" s="19" t="s">
        <v>784</v>
      </c>
      <c r="F988" s="19">
        <v>0</v>
      </c>
      <c r="G988" s="43">
        <v>1835</v>
      </c>
    </row>
    <row r="989" spans="1:7" x14ac:dyDescent="0.3">
      <c r="A989" s="19">
        <v>755</v>
      </c>
      <c r="B989" s="19" t="s">
        <v>1909</v>
      </c>
      <c r="C989" s="19" t="s">
        <v>774</v>
      </c>
      <c r="D989" s="19" t="s">
        <v>775</v>
      </c>
      <c r="E989" s="19" t="s">
        <v>784</v>
      </c>
      <c r="F989" s="19">
        <v>0</v>
      </c>
      <c r="G989" s="43">
        <v>2453.38</v>
      </c>
    </row>
    <row r="990" spans="1:7" x14ac:dyDescent="0.3">
      <c r="A990" s="19">
        <v>2667</v>
      </c>
      <c r="B990" s="19" t="s">
        <v>1910</v>
      </c>
      <c r="C990" s="19" t="s">
        <v>774</v>
      </c>
      <c r="D990" s="19" t="s">
        <v>1911</v>
      </c>
      <c r="E990" s="19" t="s">
        <v>784</v>
      </c>
      <c r="F990" s="19">
        <v>4.4000000000000004</v>
      </c>
      <c r="G990" s="43">
        <v>600</v>
      </c>
    </row>
    <row r="991" spans="1:7" x14ac:dyDescent="0.3">
      <c r="A991" s="19">
        <v>187</v>
      </c>
      <c r="B991" s="19" t="s">
        <v>1912</v>
      </c>
      <c r="C991" s="19" t="s">
        <v>774</v>
      </c>
      <c r="D991" s="19" t="s">
        <v>794</v>
      </c>
      <c r="E991" s="19" t="s">
        <v>784</v>
      </c>
      <c r="F991" s="19">
        <v>1</v>
      </c>
      <c r="G991" s="43">
        <v>1209.08</v>
      </c>
    </row>
    <row r="992" spans="1:7" x14ac:dyDescent="0.3">
      <c r="A992" s="19">
        <v>190</v>
      </c>
      <c r="B992" s="19" t="s">
        <v>1913</v>
      </c>
      <c r="C992" s="19" t="s">
        <v>774</v>
      </c>
      <c r="D992" s="19" t="s">
        <v>778</v>
      </c>
      <c r="E992" s="19" t="s">
        <v>784</v>
      </c>
      <c r="F992" s="19">
        <v>0</v>
      </c>
      <c r="G992" s="43">
        <v>1608.87</v>
      </c>
    </row>
    <row r="993" spans="1:7" x14ac:dyDescent="0.3">
      <c r="A993" s="19">
        <v>559</v>
      </c>
      <c r="B993" s="19" t="s">
        <v>1914</v>
      </c>
      <c r="C993" s="19" t="s">
        <v>774</v>
      </c>
      <c r="D993" s="19" t="s">
        <v>786</v>
      </c>
      <c r="E993" s="19" t="s">
        <v>784</v>
      </c>
      <c r="F993" s="19">
        <v>1</v>
      </c>
      <c r="G993" s="43">
        <v>1164.3800000000001</v>
      </c>
    </row>
    <row r="994" spans="1:7" x14ac:dyDescent="0.3">
      <c r="A994" s="19">
        <v>409</v>
      </c>
      <c r="B994" s="19" t="s">
        <v>1915</v>
      </c>
      <c r="C994" s="19" t="s">
        <v>774</v>
      </c>
      <c r="D994" s="19" t="s">
        <v>786</v>
      </c>
      <c r="E994" s="19" t="s">
        <v>784</v>
      </c>
      <c r="F994" s="19">
        <v>0</v>
      </c>
      <c r="G994" s="43">
        <v>3351.48</v>
      </c>
    </row>
    <row r="995" spans="1:7" x14ac:dyDescent="0.3">
      <c r="A995" s="19">
        <v>1462</v>
      </c>
      <c r="B995" s="19" t="s">
        <v>1916</v>
      </c>
      <c r="C995" s="19" t="s">
        <v>781</v>
      </c>
      <c r="D995" s="19" t="s">
        <v>783</v>
      </c>
      <c r="E995" s="19" t="s">
        <v>784</v>
      </c>
      <c r="F995" s="19">
        <v>0</v>
      </c>
      <c r="G995" s="43">
        <v>1.74</v>
      </c>
    </row>
    <row r="996" spans="1:7" x14ac:dyDescent="0.3">
      <c r="A996" s="19">
        <v>3777</v>
      </c>
      <c r="B996" s="19" t="s">
        <v>1917</v>
      </c>
      <c r="C996" s="19" t="s">
        <v>781</v>
      </c>
      <c r="D996" s="19" t="s">
        <v>786</v>
      </c>
      <c r="E996" s="19" t="s">
        <v>784</v>
      </c>
      <c r="F996" s="19">
        <v>0</v>
      </c>
      <c r="G996" s="43">
        <v>1.74</v>
      </c>
    </row>
    <row r="997" spans="1:7" x14ac:dyDescent="0.3">
      <c r="A997" s="19">
        <v>283</v>
      </c>
      <c r="B997" s="19" t="s">
        <v>1918</v>
      </c>
      <c r="C997" s="19" t="s">
        <v>774</v>
      </c>
      <c r="D997" s="19" t="s">
        <v>778</v>
      </c>
      <c r="E997" s="19" t="s">
        <v>784</v>
      </c>
      <c r="F997" s="19">
        <v>0</v>
      </c>
      <c r="G997" s="43">
        <v>1713.84</v>
      </c>
    </row>
    <row r="998" spans="1:7" x14ac:dyDescent="0.3">
      <c r="A998" s="19">
        <v>1373</v>
      </c>
      <c r="B998" s="19" t="s">
        <v>1919</v>
      </c>
      <c r="C998" s="19" t="s">
        <v>774</v>
      </c>
      <c r="D998" s="19" t="s">
        <v>1920</v>
      </c>
      <c r="E998" s="19" t="s">
        <v>784</v>
      </c>
      <c r="F998" s="19">
        <v>1</v>
      </c>
      <c r="G998" s="43">
        <v>2000</v>
      </c>
    </row>
    <row r="999" spans="1:7" x14ac:dyDescent="0.3">
      <c r="A999" s="19">
        <v>1786</v>
      </c>
      <c r="B999" s="19" t="s">
        <v>1921</v>
      </c>
      <c r="C999" s="19" t="s">
        <v>807</v>
      </c>
      <c r="D999" s="19" t="s">
        <v>1922</v>
      </c>
      <c r="E999" s="19" t="s">
        <v>784</v>
      </c>
      <c r="F999" s="19">
        <v>1</v>
      </c>
      <c r="G999" s="43">
        <v>2400</v>
      </c>
    </row>
    <row r="1000" spans="1:7" x14ac:dyDescent="0.3">
      <c r="A1000" s="19">
        <v>348</v>
      </c>
      <c r="B1000" s="19" t="s">
        <v>1923</v>
      </c>
      <c r="C1000" s="19" t="s">
        <v>774</v>
      </c>
      <c r="D1000" s="19" t="s">
        <v>778</v>
      </c>
      <c r="E1000" s="19" t="s">
        <v>784</v>
      </c>
      <c r="F1000" s="19">
        <v>0</v>
      </c>
      <c r="G1000" s="43">
        <v>2104.5100000000002</v>
      </c>
    </row>
    <row r="1001" spans="1:7" x14ac:dyDescent="0.3">
      <c r="A1001" s="19">
        <v>1779</v>
      </c>
      <c r="B1001" s="19" t="s">
        <v>1924</v>
      </c>
      <c r="C1001" s="19" t="s">
        <v>807</v>
      </c>
      <c r="D1001" s="19" t="s">
        <v>1925</v>
      </c>
      <c r="E1001" s="19" t="s">
        <v>784</v>
      </c>
      <c r="F1001" s="19">
        <v>0</v>
      </c>
      <c r="G1001" s="43">
        <v>978.05</v>
      </c>
    </row>
    <row r="1002" spans="1:7" x14ac:dyDescent="0.3">
      <c r="A1002" s="19">
        <v>597</v>
      </c>
      <c r="B1002" s="19" t="s">
        <v>1926</v>
      </c>
      <c r="C1002" s="19" t="s">
        <v>774</v>
      </c>
      <c r="D1002" s="19" t="s">
        <v>778</v>
      </c>
      <c r="E1002" s="19" t="s">
        <v>784</v>
      </c>
      <c r="F1002" s="19">
        <v>0</v>
      </c>
      <c r="G1002" s="43">
        <v>459.23</v>
      </c>
    </row>
    <row r="1003" spans="1:7" x14ac:dyDescent="0.3">
      <c r="A1003" s="19">
        <v>1355</v>
      </c>
      <c r="B1003" s="19" t="s">
        <v>1927</v>
      </c>
      <c r="C1003" s="19" t="s">
        <v>774</v>
      </c>
      <c r="D1003" s="19" t="s">
        <v>775</v>
      </c>
      <c r="E1003" s="19" t="s">
        <v>784</v>
      </c>
      <c r="F1003" s="19">
        <v>0</v>
      </c>
      <c r="G1003" s="43">
        <v>1322</v>
      </c>
    </row>
    <row r="1004" spans="1:7" x14ac:dyDescent="0.3">
      <c r="A1004" s="19">
        <v>1827</v>
      </c>
      <c r="B1004" s="19" t="s">
        <v>1928</v>
      </c>
      <c r="C1004" s="19" t="s">
        <v>774</v>
      </c>
      <c r="D1004" s="19" t="s">
        <v>775</v>
      </c>
      <c r="E1004" s="19" t="s">
        <v>784</v>
      </c>
      <c r="F1004" s="19">
        <v>0.45300000000000001</v>
      </c>
      <c r="G1004" s="43">
        <v>2669.31</v>
      </c>
    </row>
    <row r="1005" spans="1:7" x14ac:dyDescent="0.3">
      <c r="A1005" s="19">
        <v>1457</v>
      </c>
      <c r="B1005" s="19" t="s">
        <v>1929</v>
      </c>
      <c r="C1005" s="19" t="s">
        <v>774</v>
      </c>
      <c r="D1005" s="19" t="s">
        <v>783</v>
      </c>
      <c r="E1005" s="19" t="s">
        <v>784</v>
      </c>
      <c r="F1005" s="19">
        <v>0</v>
      </c>
      <c r="G1005" s="43">
        <v>8105.41</v>
      </c>
    </row>
    <row r="1006" spans="1:7" x14ac:dyDescent="0.3">
      <c r="A1006" s="19">
        <v>2928</v>
      </c>
      <c r="B1006" s="19" t="s">
        <v>1930</v>
      </c>
      <c r="C1006" s="19" t="s">
        <v>781</v>
      </c>
      <c r="D1006" s="19" t="s">
        <v>819</v>
      </c>
      <c r="E1006" s="19" t="s">
        <v>784</v>
      </c>
      <c r="F1006" s="19">
        <v>0</v>
      </c>
      <c r="G1006" s="43">
        <v>8.35</v>
      </c>
    </row>
    <row r="1007" spans="1:7" x14ac:dyDescent="0.3">
      <c r="A1007" s="19">
        <v>380</v>
      </c>
      <c r="B1007" s="19" t="s">
        <v>1931</v>
      </c>
      <c r="C1007" s="19" t="s">
        <v>807</v>
      </c>
      <c r="D1007" s="19" t="s">
        <v>1529</v>
      </c>
      <c r="E1007" s="19" t="s">
        <v>784</v>
      </c>
      <c r="F1007" s="19">
        <v>0.5</v>
      </c>
      <c r="G1007" s="43">
        <v>6071.79</v>
      </c>
    </row>
    <row r="1008" spans="1:7" x14ac:dyDescent="0.3">
      <c r="A1008" s="19">
        <v>264</v>
      </c>
      <c r="B1008" s="19" t="s">
        <v>1932</v>
      </c>
      <c r="C1008" s="19" t="s">
        <v>774</v>
      </c>
      <c r="D1008" s="19" t="s">
        <v>778</v>
      </c>
      <c r="E1008" s="19" t="s">
        <v>784</v>
      </c>
      <c r="F1008" s="19">
        <v>0</v>
      </c>
      <c r="G1008" s="43">
        <v>5045.1499999999996</v>
      </c>
    </row>
    <row r="1009" spans="1:7" x14ac:dyDescent="0.3">
      <c r="A1009" s="19">
        <v>637</v>
      </c>
      <c r="B1009" s="19" t="s">
        <v>1933</v>
      </c>
      <c r="C1009" s="19" t="s">
        <v>774</v>
      </c>
      <c r="D1009" s="19" t="s">
        <v>778</v>
      </c>
      <c r="E1009" s="19" t="s">
        <v>784</v>
      </c>
      <c r="F1009" s="19">
        <v>1</v>
      </c>
      <c r="G1009" s="43">
        <v>11509.96</v>
      </c>
    </row>
    <row r="1010" spans="1:7" x14ac:dyDescent="0.3">
      <c r="A1010" s="19">
        <v>183</v>
      </c>
      <c r="B1010" s="19" t="s">
        <v>1934</v>
      </c>
      <c r="C1010" s="19" t="s">
        <v>774</v>
      </c>
      <c r="D1010" s="19" t="s">
        <v>775</v>
      </c>
      <c r="E1010" s="19" t="s">
        <v>784</v>
      </c>
      <c r="F1010" s="19">
        <v>2.5</v>
      </c>
      <c r="G1010" s="43">
        <v>3854.92</v>
      </c>
    </row>
    <row r="1011" spans="1:7" x14ac:dyDescent="0.3">
      <c r="A1011" s="19">
        <v>2929</v>
      </c>
      <c r="B1011" s="19" t="s">
        <v>1935</v>
      </c>
      <c r="C1011" s="19" t="s">
        <v>781</v>
      </c>
      <c r="D1011" s="19" t="s">
        <v>819</v>
      </c>
      <c r="E1011" s="19" t="s">
        <v>784</v>
      </c>
      <c r="F1011" s="19">
        <v>0</v>
      </c>
      <c r="G1011" s="43">
        <v>8.34</v>
      </c>
    </row>
    <row r="1012" spans="1:7" x14ac:dyDescent="0.3">
      <c r="A1012" s="19">
        <v>3794</v>
      </c>
      <c r="B1012" s="19" t="s">
        <v>1936</v>
      </c>
      <c r="C1012" s="19" t="s">
        <v>899</v>
      </c>
      <c r="D1012" s="19" t="s">
        <v>939</v>
      </c>
      <c r="E1012" s="19" t="s">
        <v>882</v>
      </c>
      <c r="F1012" s="19">
        <v>0</v>
      </c>
      <c r="G1012" s="43">
        <v>1.24</v>
      </c>
    </row>
    <row r="1013" spans="1:7" x14ac:dyDescent="0.3">
      <c r="A1013" s="19">
        <v>1390</v>
      </c>
      <c r="B1013" s="19" t="s">
        <v>1937</v>
      </c>
      <c r="C1013" s="19" t="s">
        <v>774</v>
      </c>
      <c r="D1013" s="19" t="s">
        <v>775</v>
      </c>
      <c r="E1013" s="19" t="s">
        <v>784</v>
      </c>
      <c r="F1013" s="19">
        <v>0</v>
      </c>
      <c r="G1013" s="43">
        <v>3793</v>
      </c>
    </row>
    <row r="1014" spans="1:7" x14ac:dyDescent="0.3">
      <c r="A1014" s="19">
        <v>2228</v>
      </c>
      <c r="B1014" s="19" t="s">
        <v>1938</v>
      </c>
      <c r="C1014" s="19" t="s">
        <v>774</v>
      </c>
      <c r="D1014" s="19" t="s">
        <v>1939</v>
      </c>
      <c r="E1014" s="19" t="s">
        <v>784</v>
      </c>
      <c r="F1014" s="19">
        <v>1</v>
      </c>
      <c r="G1014" s="43">
        <v>884.29</v>
      </c>
    </row>
    <row r="1015" spans="1:7" x14ac:dyDescent="0.3">
      <c r="A1015" s="19">
        <v>2230</v>
      </c>
      <c r="B1015" s="19" t="s">
        <v>1940</v>
      </c>
      <c r="C1015" s="19" t="s">
        <v>774</v>
      </c>
      <c r="D1015" s="19" t="s">
        <v>1941</v>
      </c>
      <c r="E1015" s="19" t="s">
        <v>784</v>
      </c>
      <c r="F1015" s="19">
        <v>0</v>
      </c>
      <c r="G1015" s="43">
        <v>695.88</v>
      </c>
    </row>
    <row r="1016" spans="1:7" x14ac:dyDescent="0.3">
      <c r="A1016" s="19">
        <v>388</v>
      </c>
      <c r="B1016" s="19" t="s">
        <v>1942</v>
      </c>
      <c r="C1016" s="19" t="s">
        <v>774</v>
      </c>
      <c r="D1016" s="19" t="s">
        <v>786</v>
      </c>
      <c r="E1016" s="19" t="s">
        <v>784</v>
      </c>
      <c r="F1016" s="19">
        <v>1</v>
      </c>
      <c r="G1016" s="43">
        <v>637.5</v>
      </c>
    </row>
    <row r="1017" spans="1:7" x14ac:dyDescent="0.3">
      <c r="A1017" s="19">
        <v>186</v>
      </c>
      <c r="B1017" s="19" t="s">
        <v>1943</v>
      </c>
      <c r="C1017" s="19" t="s">
        <v>774</v>
      </c>
      <c r="D1017" s="19" t="s">
        <v>778</v>
      </c>
      <c r="E1017" s="19" t="s">
        <v>784</v>
      </c>
      <c r="F1017" s="19">
        <v>0</v>
      </c>
      <c r="G1017" s="43">
        <v>2678.08</v>
      </c>
    </row>
    <row r="1018" spans="1:7" x14ac:dyDescent="0.3">
      <c r="A1018" s="19">
        <v>369</v>
      </c>
      <c r="B1018" s="19" t="s">
        <v>1944</v>
      </c>
      <c r="C1018" s="19" t="s">
        <v>899</v>
      </c>
      <c r="D1018" s="19" t="s">
        <v>778</v>
      </c>
      <c r="E1018" s="19" t="s">
        <v>784</v>
      </c>
      <c r="F1018" s="19">
        <v>0</v>
      </c>
      <c r="G1018" s="43">
        <v>743</v>
      </c>
    </row>
    <row r="1019" spans="1:7" x14ac:dyDescent="0.3">
      <c r="A1019" s="19">
        <v>1252</v>
      </c>
      <c r="B1019" s="19" t="s">
        <v>1945</v>
      </c>
      <c r="C1019" s="19" t="s">
        <v>774</v>
      </c>
      <c r="D1019" s="19" t="s">
        <v>775</v>
      </c>
      <c r="E1019" s="19" t="s">
        <v>784</v>
      </c>
      <c r="F1019" s="19">
        <v>0</v>
      </c>
      <c r="G1019" s="43">
        <v>1724</v>
      </c>
    </row>
    <row r="1020" spans="1:7" x14ac:dyDescent="0.3">
      <c r="A1020" s="19">
        <v>723</v>
      </c>
      <c r="B1020" s="19" t="s">
        <v>1946</v>
      </c>
      <c r="C1020" s="19" t="s">
        <v>774</v>
      </c>
      <c r="D1020" s="19" t="s">
        <v>778</v>
      </c>
      <c r="E1020" s="19" t="s">
        <v>784</v>
      </c>
      <c r="F1020" s="19">
        <v>0</v>
      </c>
      <c r="G1020" s="43">
        <v>443.96</v>
      </c>
    </row>
    <row r="1021" spans="1:7" x14ac:dyDescent="0.3">
      <c r="A1021" s="19">
        <v>721</v>
      </c>
      <c r="B1021" s="19" t="s">
        <v>1947</v>
      </c>
      <c r="C1021" s="19" t="s">
        <v>774</v>
      </c>
      <c r="D1021" s="19" t="s">
        <v>1948</v>
      </c>
      <c r="E1021" s="19" t="s">
        <v>784</v>
      </c>
      <c r="F1021" s="19">
        <v>1</v>
      </c>
      <c r="G1021" s="43">
        <v>460</v>
      </c>
    </row>
    <row r="1022" spans="1:7" x14ac:dyDescent="0.3">
      <c r="A1022" s="19">
        <v>3317</v>
      </c>
      <c r="B1022" s="19" t="s">
        <v>1949</v>
      </c>
      <c r="C1022" s="19" t="s">
        <v>774</v>
      </c>
      <c r="D1022" s="19" t="s">
        <v>854</v>
      </c>
      <c r="E1022" s="19" t="s">
        <v>784</v>
      </c>
      <c r="F1022" s="19">
        <v>0</v>
      </c>
      <c r="G1022" s="43">
        <v>0</v>
      </c>
    </row>
    <row r="1023" spans="1:7" x14ac:dyDescent="0.3">
      <c r="A1023" s="19">
        <v>1340</v>
      </c>
      <c r="B1023" s="19" t="s">
        <v>1950</v>
      </c>
      <c r="C1023" s="19" t="s">
        <v>774</v>
      </c>
      <c r="D1023" s="19" t="s">
        <v>775</v>
      </c>
      <c r="E1023" s="19" t="s">
        <v>784</v>
      </c>
      <c r="F1023" s="19">
        <v>0</v>
      </c>
      <c r="G1023" s="43">
        <v>3811</v>
      </c>
    </row>
    <row r="1024" spans="1:7" x14ac:dyDescent="0.3">
      <c r="A1024" s="19">
        <v>2231</v>
      </c>
      <c r="B1024" s="19" t="s">
        <v>1951</v>
      </c>
      <c r="C1024" s="19" t="s">
        <v>807</v>
      </c>
      <c r="D1024" s="19" t="s">
        <v>1531</v>
      </c>
      <c r="E1024" s="19" t="s">
        <v>784</v>
      </c>
      <c r="F1024" s="19">
        <v>0</v>
      </c>
      <c r="G1024" s="43">
        <v>11.52</v>
      </c>
    </row>
    <row r="1025" spans="1:7" x14ac:dyDescent="0.3">
      <c r="A1025" s="19">
        <v>2192</v>
      </c>
      <c r="B1025" s="19" t="s">
        <v>1952</v>
      </c>
      <c r="C1025" s="19" t="s">
        <v>774</v>
      </c>
      <c r="D1025" s="19" t="s">
        <v>788</v>
      </c>
      <c r="E1025" s="19" t="s">
        <v>784</v>
      </c>
      <c r="F1025" s="19">
        <v>0</v>
      </c>
      <c r="G1025" s="43">
        <v>750.75</v>
      </c>
    </row>
    <row r="1026" spans="1:7" x14ac:dyDescent="0.3">
      <c r="A1026" s="19">
        <v>327</v>
      </c>
      <c r="B1026" s="19" t="s">
        <v>1953</v>
      </c>
      <c r="C1026" s="19" t="s">
        <v>807</v>
      </c>
      <c r="D1026" s="19" t="s">
        <v>1554</v>
      </c>
      <c r="E1026" s="19" t="s">
        <v>784</v>
      </c>
      <c r="F1026" s="19">
        <v>1</v>
      </c>
      <c r="G1026" s="43">
        <v>375.16</v>
      </c>
    </row>
    <row r="1027" spans="1:7" x14ac:dyDescent="0.3">
      <c r="A1027" s="19">
        <v>1777</v>
      </c>
      <c r="B1027" s="19" t="s">
        <v>1954</v>
      </c>
      <c r="C1027" s="19" t="s">
        <v>774</v>
      </c>
      <c r="D1027" s="19" t="s">
        <v>778</v>
      </c>
      <c r="E1027" s="19" t="s">
        <v>784</v>
      </c>
      <c r="F1027" s="19">
        <v>0</v>
      </c>
      <c r="G1027" s="43">
        <v>460.2</v>
      </c>
    </row>
    <row r="1028" spans="1:7" x14ac:dyDescent="0.3">
      <c r="A1028" s="19">
        <v>97</v>
      </c>
      <c r="B1028" s="19" t="s">
        <v>1955</v>
      </c>
      <c r="C1028" s="19" t="s">
        <v>807</v>
      </c>
      <c r="D1028" s="19" t="s">
        <v>1881</v>
      </c>
      <c r="E1028" s="19" t="s">
        <v>784</v>
      </c>
      <c r="F1028" s="19">
        <v>0</v>
      </c>
      <c r="G1028" s="43">
        <v>334.47</v>
      </c>
    </row>
    <row r="1029" spans="1:7" x14ac:dyDescent="0.3">
      <c r="A1029" s="19">
        <v>2024</v>
      </c>
      <c r="B1029" s="19" t="s">
        <v>1956</v>
      </c>
      <c r="C1029" s="19" t="s">
        <v>774</v>
      </c>
      <c r="D1029" s="19" t="s">
        <v>788</v>
      </c>
      <c r="E1029" s="19" t="s">
        <v>784</v>
      </c>
      <c r="F1029" s="19">
        <v>0</v>
      </c>
      <c r="G1029" s="43">
        <v>1300</v>
      </c>
    </row>
    <row r="1030" spans="1:7" x14ac:dyDescent="0.3">
      <c r="A1030" s="19">
        <v>523</v>
      </c>
      <c r="B1030" s="19" t="s">
        <v>1957</v>
      </c>
      <c r="C1030" s="19" t="s">
        <v>774</v>
      </c>
      <c r="D1030" s="19" t="s">
        <v>794</v>
      </c>
      <c r="E1030" s="19" t="s">
        <v>784</v>
      </c>
      <c r="F1030" s="19">
        <v>1</v>
      </c>
      <c r="G1030" s="43">
        <v>386.25</v>
      </c>
    </row>
    <row r="1031" spans="1:7" x14ac:dyDescent="0.3">
      <c r="A1031" s="19">
        <v>3380</v>
      </c>
      <c r="B1031" s="19" t="s">
        <v>1958</v>
      </c>
      <c r="C1031" s="19" t="s">
        <v>899</v>
      </c>
      <c r="D1031" s="19" t="s">
        <v>939</v>
      </c>
      <c r="E1031" s="19" t="s">
        <v>882</v>
      </c>
      <c r="F1031" s="19">
        <v>0</v>
      </c>
      <c r="G1031" s="43">
        <v>5.17</v>
      </c>
    </row>
    <row r="1032" spans="1:7" x14ac:dyDescent="0.3">
      <c r="A1032" s="19">
        <v>3791</v>
      </c>
      <c r="B1032" s="19" t="s">
        <v>1959</v>
      </c>
      <c r="C1032" s="19" t="s">
        <v>899</v>
      </c>
      <c r="D1032" s="19" t="s">
        <v>939</v>
      </c>
      <c r="E1032" s="19" t="s">
        <v>882</v>
      </c>
      <c r="F1032" s="19">
        <v>0</v>
      </c>
      <c r="G1032" s="43">
        <v>3.19</v>
      </c>
    </row>
    <row r="1033" spans="1:7" x14ac:dyDescent="0.3">
      <c r="A1033" s="19">
        <v>2526</v>
      </c>
      <c r="B1033" s="19" t="s">
        <v>1960</v>
      </c>
      <c r="C1033" s="19" t="s">
        <v>774</v>
      </c>
      <c r="D1033" s="19" t="s">
        <v>778</v>
      </c>
      <c r="E1033" s="19" t="s">
        <v>784</v>
      </c>
      <c r="F1033" s="19">
        <v>0</v>
      </c>
      <c r="G1033" s="43">
        <v>3870.68</v>
      </c>
    </row>
    <row r="1034" spans="1:7" x14ac:dyDescent="0.3">
      <c r="A1034" s="19">
        <v>277</v>
      </c>
      <c r="B1034" s="19" t="s">
        <v>1961</v>
      </c>
      <c r="C1034" s="19" t="s">
        <v>774</v>
      </c>
      <c r="D1034" s="19" t="s">
        <v>778</v>
      </c>
      <c r="E1034" s="19" t="s">
        <v>784</v>
      </c>
      <c r="F1034" s="19">
        <v>0.5</v>
      </c>
      <c r="G1034" s="43">
        <v>3577.44</v>
      </c>
    </row>
    <row r="1035" spans="1:7" x14ac:dyDescent="0.3">
      <c r="A1035" s="19">
        <v>730</v>
      </c>
      <c r="B1035" s="19" t="s">
        <v>1962</v>
      </c>
      <c r="C1035" s="19" t="s">
        <v>774</v>
      </c>
      <c r="D1035" s="19" t="s">
        <v>778</v>
      </c>
      <c r="E1035" s="19" t="s">
        <v>784</v>
      </c>
      <c r="F1035" s="19">
        <v>0</v>
      </c>
      <c r="G1035" s="43">
        <v>3303.22</v>
      </c>
    </row>
    <row r="1036" spans="1:7" x14ac:dyDescent="0.3">
      <c r="A1036" s="19">
        <v>2025</v>
      </c>
      <c r="B1036" s="19" t="s">
        <v>1963</v>
      </c>
      <c r="C1036" s="19" t="s">
        <v>807</v>
      </c>
      <c r="D1036" s="19" t="s">
        <v>808</v>
      </c>
      <c r="E1036" s="19" t="s">
        <v>784</v>
      </c>
      <c r="F1036" s="19">
        <v>0</v>
      </c>
      <c r="G1036" s="43">
        <v>1300</v>
      </c>
    </row>
    <row r="1037" spans="1:7" x14ac:dyDescent="0.3">
      <c r="A1037" s="19">
        <v>2133</v>
      </c>
      <c r="B1037" s="19" t="s">
        <v>1964</v>
      </c>
      <c r="C1037" s="19" t="s">
        <v>807</v>
      </c>
      <c r="D1037" s="19" t="s">
        <v>808</v>
      </c>
      <c r="E1037" s="19" t="s">
        <v>784</v>
      </c>
      <c r="F1037" s="19">
        <v>0</v>
      </c>
      <c r="G1037" s="43">
        <v>2000</v>
      </c>
    </row>
    <row r="1038" spans="1:7" x14ac:dyDescent="0.3">
      <c r="A1038" s="19">
        <v>1804</v>
      </c>
      <c r="B1038" s="19" t="s">
        <v>1965</v>
      </c>
      <c r="C1038" s="19" t="s">
        <v>774</v>
      </c>
      <c r="D1038" s="19" t="s">
        <v>788</v>
      </c>
      <c r="E1038" s="19" t="s">
        <v>784</v>
      </c>
      <c r="F1038" s="19">
        <v>0</v>
      </c>
      <c r="G1038" s="43">
        <v>0</v>
      </c>
    </row>
    <row r="1039" spans="1:7" x14ac:dyDescent="0.3">
      <c r="A1039" s="19">
        <v>3762</v>
      </c>
      <c r="B1039" s="19" t="s">
        <v>1966</v>
      </c>
      <c r="C1039" s="19" t="s">
        <v>774</v>
      </c>
      <c r="D1039" s="19" t="s">
        <v>854</v>
      </c>
      <c r="E1039" s="19" t="s">
        <v>784</v>
      </c>
      <c r="F1039" s="19">
        <v>0</v>
      </c>
      <c r="G1039" s="43">
        <v>0</v>
      </c>
    </row>
    <row r="1040" spans="1:7" x14ac:dyDescent="0.3">
      <c r="A1040" s="19">
        <v>2148</v>
      </c>
      <c r="B1040" s="19" t="s">
        <v>1967</v>
      </c>
      <c r="C1040" s="19" t="s">
        <v>774</v>
      </c>
      <c r="D1040" s="19" t="s">
        <v>1968</v>
      </c>
      <c r="E1040" s="19" t="s">
        <v>784</v>
      </c>
      <c r="F1040" s="19">
        <v>0</v>
      </c>
      <c r="G1040" s="43">
        <v>1280</v>
      </c>
    </row>
    <row r="1041" spans="1:7" x14ac:dyDescent="0.3">
      <c r="A1041" s="19">
        <v>1828</v>
      </c>
      <c r="B1041" s="19" t="s">
        <v>1969</v>
      </c>
      <c r="C1041" s="19" t="s">
        <v>774</v>
      </c>
      <c r="D1041" s="19" t="s">
        <v>1970</v>
      </c>
      <c r="E1041" s="19" t="s">
        <v>784</v>
      </c>
      <c r="F1041" s="19">
        <v>1</v>
      </c>
      <c r="G1041" s="43">
        <v>154.63</v>
      </c>
    </row>
    <row r="1042" spans="1:7" x14ac:dyDescent="0.3">
      <c r="A1042" s="19">
        <v>1361</v>
      </c>
      <c r="B1042" s="19" t="s">
        <v>1971</v>
      </c>
      <c r="C1042" s="19" t="s">
        <v>774</v>
      </c>
      <c r="D1042" s="19" t="s">
        <v>775</v>
      </c>
      <c r="E1042" s="19" t="s">
        <v>784</v>
      </c>
      <c r="F1042" s="19">
        <v>0</v>
      </c>
      <c r="G1042" s="43">
        <v>653</v>
      </c>
    </row>
    <row r="1043" spans="1:7" x14ac:dyDescent="0.3">
      <c r="A1043" s="19">
        <v>188</v>
      </c>
      <c r="B1043" s="19" t="s">
        <v>1972</v>
      </c>
      <c r="C1043" s="19" t="s">
        <v>774</v>
      </c>
      <c r="D1043" s="19" t="s">
        <v>794</v>
      </c>
      <c r="E1043" s="19" t="s">
        <v>784</v>
      </c>
      <c r="F1043" s="19">
        <v>1</v>
      </c>
      <c r="G1043" s="43">
        <v>388.8</v>
      </c>
    </row>
    <row r="1044" spans="1:7" x14ac:dyDescent="0.3">
      <c r="A1044" s="19">
        <v>770</v>
      </c>
      <c r="B1044" s="19" t="s">
        <v>1973</v>
      </c>
      <c r="C1044" s="19" t="s">
        <v>774</v>
      </c>
      <c r="D1044" s="19" t="s">
        <v>778</v>
      </c>
      <c r="E1044" s="19" t="s">
        <v>784</v>
      </c>
      <c r="F1044" s="19">
        <v>0</v>
      </c>
      <c r="G1044" s="43">
        <v>231.41</v>
      </c>
    </row>
    <row r="1045" spans="1:7" x14ac:dyDescent="0.3">
      <c r="A1045" s="19">
        <v>558</v>
      </c>
      <c r="B1045" s="19" t="s">
        <v>1974</v>
      </c>
      <c r="C1045" s="19" t="s">
        <v>774</v>
      </c>
      <c r="D1045" s="19" t="s">
        <v>1851</v>
      </c>
      <c r="E1045" s="19" t="s">
        <v>784</v>
      </c>
      <c r="F1045" s="19">
        <v>1</v>
      </c>
      <c r="G1045" s="43">
        <v>378.57</v>
      </c>
    </row>
    <row r="1046" spans="1:7" x14ac:dyDescent="0.3">
      <c r="A1046" s="19">
        <v>372</v>
      </c>
      <c r="B1046" s="19" t="s">
        <v>1975</v>
      </c>
      <c r="C1046" s="19" t="s">
        <v>899</v>
      </c>
      <c r="D1046" s="19" t="s">
        <v>778</v>
      </c>
      <c r="E1046" s="19" t="s">
        <v>784</v>
      </c>
      <c r="F1046" s="19">
        <v>0</v>
      </c>
      <c r="G1046" s="43">
        <v>1060.6099999999999</v>
      </c>
    </row>
    <row r="1047" spans="1:7" x14ac:dyDescent="0.3">
      <c r="A1047" s="19">
        <v>1796</v>
      </c>
      <c r="B1047" s="19" t="s">
        <v>1976</v>
      </c>
      <c r="C1047" s="19" t="s">
        <v>774</v>
      </c>
      <c r="D1047" s="19" t="s">
        <v>775</v>
      </c>
      <c r="E1047" s="19" t="s">
        <v>784</v>
      </c>
      <c r="F1047" s="19">
        <v>0</v>
      </c>
      <c r="G1047" s="43">
        <v>1213.48</v>
      </c>
    </row>
    <row r="1048" spans="1:7" x14ac:dyDescent="0.3">
      <c r="A1048" s="19">
        <v>370</v>
      </c>
      <c r="B1048" s="19" t="s">
        <v>1977</v>
      </c>
      <c r="C1048" s="19" t="s">
        <v>899</v>
      </c>
      <c r="D1048" s="19" t="s">
        <v>775</v>
      </c>
      <c r="E1048" s="19" t="s">
        <v>784</v>
      </c>
      <c r="F1048" s="19">
        <v>0</v>
      </c>
      <c r="G1048" s="43">
        <v>1273</v>
      </c>
    </row>
    <row r="1049" spans="1:7" x14ac:dyDescent="0.3">
      <c r="A1049" s="19">
        <v>1254</v>
      </c>
      <c r="B1049" s="19" t="s">
        <v>1978</v>
      </c>
      <c r="C1049" s="19" t="s">
        <v>774</v>
      </c>
      <c r="D1049" s="19" t="s">
        <v>1911</v>
      </c>
      <c r="E1049" s="19" t="s">
        <v>784</v>
      </c>
      <c r="F1049" s="19">
        <v>4.4000000000000004</v>
      </c>
      <c r="G1049" s="43">
        <v>1607.7</v>
      </c>
    </row>
    <row r="1050" spans="1:7" x14ac:dyDescent="0.3">
      <c r="A1050" s="19">
        <v>1813</v>
      </c>
      <c r="B1050" s="19" t="s">
        <v>1979</v>
      </c>
      <c r="C1050" s="19" t="s">
        <v>807</v>
      </c>
      <c r="D1050" s="19" t="s">
        <v>808</v>
      </c>
      <c r="E1050" s="19" t="s">
        <v>784</v>
      </c>
      <c r="F1050" s="19">
        <v>0</v>
      </c>
      <c r="G1050" s="43">
        <v>0</v>
      </c>
    </row>
    <row r="1051" spans="1:7" x14ac:dyDescent="0.3">
      <c r="A1051" s="19">
        <v>626</v>
      </c>
      <c r="B1051" s="19" t="s">
        <v>1980</v>
      </c>
      <c r="C1051" s="19" t="s">
        <v>774</v>
      </c>
      <c r="D1051" s="19" t="s">
        <v>778</v>
      </c>
      <c r="E1051" s="19" t="s">
        <v>784</v>
      </c>
      <c r="F1051" s="19">
        <v>0</v>
      </c>
      <c r="G1051" s="43">
        <v>6136.97</v>
      </c>
    </row>
    <row r="1052" spans="1:7" x14ac:dyDescent="0.3">
      <c r="A1052" s="19">
        <v>1798</v>
      </c>
      <c r="B1052" s="19" t="s">
        <v>1981</v>
      </c>
      <c r="C1052" s="19" t="s">
        <v>774</v>
      </c>
      <c r="D1052" s="19" t="s">
        <v>778</v>
      </c>
      <c r="E1052" s="19" t="s">
        <v>784</v>
      </c>
      <c r="F1052" s="19">
        <v>0</v>
      </c>
      <c r="G1052" s="43">
        <v>634</v>
      </c>
    </row>
    <row r="1053" spans="1:7" x14ac:dyDescent="0.3">
      <c r="A1053" s="19">
        <v>1370</v>
      </c>
      <c r="B1053" s="19" t="s">
        <v>1982</v>
      </c>
      <c r="C1053" s="19" t="s">
        <v>774</v>
      </c>
      <c r="D1053" s="19" t="s">
        <v>786</v>
      </c>
      <c r="E1053" s="19" t="s">
        <v>784</v>
      </c>
      <c r="F1053" s="19">
        <v>1</v>
      </c>
      <c r="G1053" s="43">
        <v>822.99</v>
      </c>
    </row>
    <row r="1054" spans="1:7" x14ac:dyDescent="0.3">
      <c r="A1054" s="19">
        <v>312</v>
      </c>
      <c r="B1054" s="19" t="s">
        <v>1983</v>
      </c>
      <c r="C1054" s="19" t="s">
        <v>807</v>
      </c>
      <c r="D1054" s="19" t="s">
        <v>808</v>
      </c>
      <c r="E1054" s="19" t="s">
        <v>784</v>
      </c>
      <c r="F1054" s="19">
        <v>0</v>
      </c>
      <c r="G1054" s="43">
        <v>749.99</v>
      </c>
    </row>
    <row r="1055" spans="1:7" x14ac:dyDescent="0.3">
      <c r="A1055" s="19">
        <v>1811</v>
      </c>
      <c r="B1055" s="19" t="s">
        <v>1984</v>
      </c>
      <c r="C1055" s="19" t="s">
        <v>774</v>
      </c>
      <c r="D1055" s="19" t="s">
        <v>778</v>
      </c>
      <c r="E1055" s="19" t="s">
        <v>784</v>
      </c>
      <c r="F1055" s="19">
        <v>0</v>
      </c>
      <c r="G1055" s="43">
        <v>778.66</v>
      </c>
    </row>
    <row r="1056" spans="1:7" x14ac:dyDescent="0.3">
      <c r="A1056" s="19">
        <v>3620</v>
      </c>
      <c r="B1056" s="19" t="s">
        <v>1985</v>
      </c>
      <c r="C1056" s="19" t="s">
        <v>807</v>
      </c>
      <c r="D1056" s="19" t="s">
        <v>1554</v>
      </c>
      <c r="E1056" s="19" t="s">
        <v>784</v>
      </c>
      <c r="F1056" s="19">
        <v>1</v>
      </c>
      <c r="G1056" s="43">
        <v>126.26</v>
      </c>
    </row>
    <row r="1057" spans="1:7" x14ac:dyDescent="0.3">
      <c r="A1057" s="19">
        <v>98</v>
      </c>
      <c r="B1057" s="19" t="s">
        <v>1986</v>
      </c>
      <c r="C1057" s="19" t="s">
        <v>807</v>
      </c>
      <c r="D1057" s="19" t="s">
        <v>1554</v>
      </c>
      <c r="E1057" s="19" t="s">
        <v>784</v>
      </c>
      <c r="F1057" s="19">
        <v>0</v>
      </c>
      <c r="G1057" s="43">
        <v>106.38</v>
      </c>
    </row>
    <row r="1058" spans="1:7" x14ac:dyDescent="0.3">
      <c r="A1058" s="19">
        <v>251</v>
      </c>
      <c r="B1058" s="19" t="s">
        <v>1987</v>
      </c>
      <c r="C1058" s="19" t="s">
        <v>774</v>
      </c>
      <c r="D1058" s="19" t="s">
        <v>778</v>
      </c>
      <c r="E1058" s="19" t="s">
        <v>784</v>
      </c>
      <c r="F1058" s="19">
        <v>0</v>
      </c>
      <c r="G1058" s="43">
        <v>254.31</v>
      </c>
    </row>
    <row r="1059" spans="1:7" x14ac:dyDescent="0.3">
      <c r="A1059" s="19">
        <v>2524</v>
      </c>
      <c r="B1059" s="19" t="s">
        <v>1988</v>
      </c>
      <c r="C1059" s="19" t="s">
        <v>774</v>
      </c>
      <c r="D1059" s="19" t="s">
        <v>778</v>
      </c>
      <c r="E1059" s="19" t="s">
        <v>784</v>
      </c>
      <c r="F1059" s="19">
        <v>0</v>
      </c>
      <c r="G1059" s="43">
        <v>1147.9000000000001</v>
      </c>
    </row>
    <row r="1060" spans="1:7" x14ac:dyDescent="0.3">
      <c r="A1060" s="19">
        <v>255</v>
      </c>
      <c r="B1060" s="19" t="s">
        <v>1989</v>
      </c>
      <c r="C1060" s="19" t="s">
        <v>774</v>
      </c>
      <c r="D1060" s="19" t="s">
        <v>778</v>
      </c>
      <c r="E1060" s="19" t="s">
        <v>784</v>
      </c>
      <c r="F1060" s="19">
        <v>1</v>
      </c>
      <c r="G1060" s="43">
        <v>2560</v>
      </c>
    </row>
    <row r="1061" spans="1:7" x14ac:dyDescent="0.3">
      <c r="A1061" s="19">
        <v>1784</v>
      </c>
      <c r="B1061" s="19" t="s">
        <v>1990</v>
      </c>
      <c r="C1061" s="19" t="s">
        <v>774</v>
      </c>
      <c r="D1061" s="19" t="s">
        <v>778</v>
      </c>
      <c r="E1061" s="19" t="s">
        <v>784</v>
      </c>
      <c r="F1061" s="19">
        <v>1</v>
      </c>
      <c r="G1061" s="43">
        <v>1240.29</v>
      </c>
    </row>
    <row r="1062" spans="1:7" x14ac:dyDescent="0.3">
      <c r="A1062" s="19">
        <v>1790</v>
      </c>
      <c r="B1062" s="19" t="s">
        <v>1991</v>
      </c>
      <c r="C1062" s="19" t="s">
        <v>774</v>
      </c>
      <c r="D1062" s="19" t="s">
        <v>808</v>
      </c>
      <c r="E1062" s="19" t="s">
        <v>784</v>
      </c>
      <c r="F1062" s="19">
        <v>0</v>
      </c>
      <c r="G1062" s="43">
        <v>3000</v>
      </c>
    </row>
    <row r="1063" spans="1:7" x14ac:dyDescent="0.3">
      <c r="A1063" s="19">
        <v>242</v>
      </c>
      <c r="B1063" s="19" t="s">
        <v>1992</v>
      </c>
      <c r="C1063" s="19" t="s">
        <v>774</v>
      </c>
      <c r="D1063" s="19" t="s">
        <v>778</v>
      </c>
      <c r="E1063" s="19" t="s">
        <v>784</v>
      </c>
      <c r="F1063" s="19">
        <v>0</v>
      </c>
      <c r="G1063" s="43">
        <v>1387.94</v>
      </c>
    </row>
    <row r="1064" spans="1:7" x14ac:dyDescent="0.3">
      <c r="A1064" s="19">
        <v>361</v>
      </c>
      <c r="B1064" s="19" t="s">
        <v>1993</v>
      </c>
      <c r="C1064" s="19" t="s">
        <v>899</v>
      </c>
      <c r="D1064" s="19" t="s">
        <v>778</v>
      </c>
      <c r="E1064" s="19" t="s">
        <v>784</v>
      </c>
      <c r="F1064" s="19">
        <v>0</v>
      </c>
      <c r="G1064" s="43">
        <v>1551.33</v>
      </c>
    </row>
    <row r="1065" spans="1:7" x14ac:dyDescent="0.3">
      <c r="A1065" s="19">
        <v>1255</v>
      </c>
      <c r="B1065" s="19" t="s">
        <v>1994</v>
      </c>
      <c r="C1065" s="19" t="s">
        <v>774</v>
      </c>
      <c r="D1065" s="19" t="s">
        <v>778</v>
      </c>
      <c r="E1065" s="19" t="s">
        <v>784</v>
      </c>
      <c r="F1065" s="19">
        <v>0</v>
      </c>
      <c r="G1065" s="43">
        <v>1110.47</v>
      </c>
    </row>
    <row r="1066" spans="1:7" x14ac:dyDescent="0.3">
      <c r="A1066" s="19">
        <v>1090</v>
      </c>
      <c r="B1066" s="19" t="s">
        <v>1995</v>
      </c>
      <c r="C1066" s="19" t="s">
        <v>774</v>
      </c>
      <c r="D1066" s="19" t="s">
        <v>778</v>
      </c>
      <c r="E1066" s="19" t="s">
        <v>784</v>
      </c>
      <c r="F1066" s="19">
        <v>0</v>
      </c>
      <c r="G1066" s="43">
        <v>6648.81</v>
      </c>
    </row>
    <row r="1067" spans="1:7" x14ac:dyDescent="0.3">
      <c r="A1067" s="19">
        <v>508</v>
      </c>
      <c r="B1067" s="19" t="s">
        <v>1996</v>
      </c>
      <c r="C1067" s="19" t="s">
        <v>774</v>
      </c>
      <c r="D1067" s="19" t="s">
        <v>1851</v>
      </c>
      <c r="E1067" s="19" t="s">
        <v>784</v>
      </c>
      <c r="F1067" s="19">
        <v>1</v>
      </c>
      <c r="G1067" s="43">
        <v>421.97</v>
      </c>
    </row>
    <row r="1068" spans="1:7" x14ac:dyDescent="0.3">
      <c r="A1068" s="19">
        <v>510</v>
      </c>
      <c r="B1068" s="19" t="s">
        <v>1997</v>
      </c>
      <c r="C1068" s="19" t="s">
        <v>774</v>
      </c>
      <c r="D1068" s="19" t="s">
        <v>1851</v>
      </c>
      <c r="E1068" s="19" t="s">
        <v>784</v>
      </c>
      <c r="F1068" s="19">
        <v>1</v>
      </c>
      <c r="G1068" s="43">
        <v>72</v>
      </c>
    </row>
    <row r="1069" spans="1:7" x14ac:dyDescent="0.3">
      <c r="A1069" s="19">
        <v>3792</v>
      </c>
      <c r="B1069" s="19" t="s">
        <v>1998</v>
      </c>
      <c r="C1069" s="19" t="s">
        <v>899</v>
      </c>
      <c r="D1069" s="19" t="s">
        <v>939</v>
      </c>
      <c r="E1069" s="19" t="s">
        <v>882</v>
      </c>
      <c r="F1069" s="19">
        <v>0</v>
      </c>
      <c r="G1069" s="43">
        <v>2.52</v>
      </c>
    </row>
    <row r="1070" spans="1:7" x14ac:dyDescent="0.3">
      <c r="A1070" s="19">
        <v>99</v>
      </c>
      <c r="B1070" s="19" t="s">
        <v>1999</v>
      </c>
      <c r="C1070" s="19" t="s">
        <v>807</v>
      </c>
      <c r="D1070" s="19" t="s">
        <v>1847</v>
      </c>
      <c r="E1070" s="19" t="s">
        <v>784</v>
      </c>
      <c r="F1070" s="19">
        <v>1</v>
      </c>
      <c r="G1070" s="43">
        <v>1112.3699999999999</v>
      </c>
    </row>
    <row r="1071" spans="1:7" x14ac:dyDescent="0.3">
      <c r="A1071" s="19">
        <v>698</v>
      </c>
      <c r="B1071" s="19" t="s">
        <v>2000</v>
      </c>
      <c r="C1071" s="19" t="s">
        <v>774</v>
      </c>
      <c r="D1071" s="19" t="s">
        <v>786</v>
      </c>
      <c r="E1071" s="19" t="s">
        <v>784</v>
      </c>
      <c r="F1071" s="19">
        <v>1</v>
      </c>
      <c r="G1071" s="43">
        <v>303.75</v>
      </c>
    </row>
    <row r="1072" spans="1:7" x14ac:dyDescent="0.3">
      <c r="A1072" s="19">
        <v>1446</v>
      </c>
      <c r="B1072" s="19" t="s">
        <v>2001</v>
      </c>
      <c r="C1072" s="19" t="s">
        <v>774</v>
      </c>
      <c r="D1072" s="19" t="s">
        <v>2002</v>
      </c>
      <c r="E1072" s="19" t="s">
        <v>784</v>
      </c>
      <c r="F1072" s="19">
        <v>0</v>
      </c>
      <c r="G1072" s="43">
        <v>3752.03</v>
      </c>
    </row>
    <row r="1073" spans="1:7" x14ac:dyDescent="0.3">
      <c r="A1073" s="19">
        <v>1441</v>
      </c>
      <c r="B1073" s="19" t="s">
        <v>2003</v>
      </c>
      <c r="C1073" s="19" t="s">
        <v>774</v>
      </c>
      <c r="D1073" s="19" t="s">
        <v>2002</v>
      </c>
      <c r="E1073" s="19" t="s">
        <v>784</v>
      </c>
      <c r="F1073" s="19">
        <v>0</v>
      </c>
      <c r="G1073" s="43">
        <v>2085</v>
      </c>
    </row>
    <row r="1074" spans="1:7" x14ac:dyDescent="0.3">
      <c r="A1074" s="19">
        <v>1364</v>
      </c>
      <c r="B1074" s="19" t="s">
        <v>2004</v>
      </c>
      <c r="C1074" s="19" t="s">
        <v>774</v>
      </c>
      <c r="D1074" s="19" t="s">
        <v>775</v>
      </c>
      <c r="E1074" s="19" t="s">
        <v>784</v>
      </c>
      <c r="F1074" s="19">
        <v>0</v>
      </c>
      <c r="G1074" s="43">
        <v>1082</v>
      </c>
    </row>
    <row r="1075" spans="1:7" x14ac:dyDescent="0.3">
      <c r="A1075" s="19">
        <v>1349</v>
      </c>
      <c r="B1075" s="19" t="s">
        <v>2005</v>
      </c>
      <c r="C1075" s="19" t="s">
        <v>774</v>
      </c>
      <c r="D1075" s="19" t="s">
        <v>775</v>
      </c>
      <c r="E1075" s="19" t="s">
        <v>784</v>
      </c>
      <c r="F1075" s="19">
        <v>0</v>
      </c>
      <c r="G1075" s="43">
        <v>1357</v>
      </c>
    </row>
    <row r="1076" spans="1:7" x14ac:dyDescent="0.3">
      <c r="A1076" s="19">
        <v>1844</v>
      </c>
      <c r="B1076" s="19" t="s">
        <v>2006</v>
      </c>
      <c r="C1076" s="19" t="s">
        <v>774</v>
      </c>
      <c r="D1076" s="19" t="s">
        <v>778</v>
      </c>
      <c r="E1076" s="19" t="s">
        <v>784</v>
      </c>
      <c r="F1076" s="19">
        <v>0.113</v>
      </c>
      <c r="G1076" s="43">
        <v>56069.49</v>
      </c>
    </row>
    <row r="1077" spans="1:7" x14ac:dyDescent="0.3">
      <c r="A1077" s="19">
        <v>350</v>
      </c>
      <c r="B1077" s="19" t="s">
        <v>2007</v>
      </c>
      <c r="C1077" s="19" t="s">
        <v>774</v>
      </c>
      <c r="D1077" s="19" t="s">
        <v>778</v>
      </c>
      <c r="E1077" s="19" t="s">
        <v>784</v>
      </c>
      <c r="F1077" s="19">
        <v>0.113</v>
      </c>
      <c r="G1077" s="43">
        <v>7711.09</v>
      </c>
    </row>
    <row r="1078" spans="1:7" x14ac:dyDescent="0.3">
      <c r="A1078" s="19">
        <v>248</v>
      </c>
      <c r="B1078" s="19" t="s">
        <v>2008</v>
      </c>
      <c r="C1078" s="19" t="s">
        <v>774</v>
      </c>
      <c r="D1078" s="19" t="s">
        <v>786</v>
      </c>
      <c r="E1078" s="19" t="s">
        <v>784</v>
      </c>
      <c r="F1078" s="19">
        <v>1</v>
      </c>
      <c r="G1078" s="43">
        <v>1283.5</v>
      </c>
    </row>
    <row r="1079" spans="1:7" x14ac:dyDescent="0.3">
      <c r="A1079" s="19">
        <v>208</v>
      </c>
      <c r="B1079" s="19" t="s">
        <v>2009</v>
      </c>
      <c r="C1079" s="19" t="s">
        <v>774</v>
      </c>
      <c r="D1079" s="19" t="s">
        <v>778</v>
      </c>
      <c r="E1079" s="19" t="s">
        <v>784</v>
      </c>
      <c r="F1079" s="19">
        <v>0</v>
      </c>
      <c r="G1079" s="43">
        <v>602.55999999999995</v>
      </c>
    </row>
    <row r="1080" spans="1:7" x14ac:dyDescent="0.3">
      <c r="A1080" s="19">
        <v>2843</v>
      </c>
      <c r="B1080" s="19" t="s">
        <v>2010</v>
      </c>
      <c r="C1080" s="19" t="s">
        <v>774</v>
      </c>
      <c r="D1080" s="19" t="s">
        <v>775</v>
      </c>
      <c r="E1080" s="19" t="s">
        <v>784</v>
      </c>
      <c r="F1080" s="19">
        <v>0.113</v>
      </c>
      <c r="G1080" s="43">
        <v>896.28</v>
      </c>
    </row>
    <row r="1081" spans="1:7" x14ac:dyDescent="0.3">
      <c r="A1081" s="19">
        <v>3227</v>
      </c>
      <c r="B1081" s="19" t="s">
        <v>2011</v>
      </c>
      <c r="C1081" s="19" t="s">
        <v>774</v>
      </c>
      <c r="D1081" s="19" t="s">
        <v>788</v>
      </c>
      <c r="E1081" s="19" t="s">
        <v>784</v>
      </c>
      <c r="F1081" s="19">
        <v>0</v>
      </c>
      <c r="G1081" s="43">
        <v>1980</v>
      </c>
    </row>
    <row r="1082" spans="1:7" x14ac:dyDescent="0.3">
      <c r="A1082" s="19">
        <v>492</v>
      </c>
      <c r="B1082" s="19" t="s">
        <v>2012</v>
      </c>
      <c r="C1082" s="19" t="s">
        <v>807</v>
      </c>
      <c r="D1082" s="19" t="s">
        <v>1563</v>
      </c>
      <c r="E1082" s="19" t="s">
        <v>784</v>
      </c>
      <c r="F1082" s="19">
        <v>1</v>
      </c>
      <c r="G1082" s="43">
        <v>2847.12</v>
      </c>
    </row>
    <row r="1083" spans="1:7" x14ac:dyDescent="0.3">
      <c r="A1083" s="19">
        <v>1808</v>
      </c>
      <c r="B1083" s="19" t="s">
        <v>2013</v>
      </c>
      <c r="C1083" s="19" t="s">
        <v>774</v>
      </c>
      <c r="D1083" s="19" t="s">
        <v>2014</v>
      </c>
      <c r="E1083" s="19" t="s">
        <v>784</v>
      </c>
      <c r="F1083" s="19">
        <v>0</v>
      </c>
      <c r="G1083" s="43">
        <v>1000</v>
      </c>
    </row>
    <row r="1084" spans="1:7" x14ac:dyDescent="0.3">
      <c r="A1084" s="19">
        <v>748</v>
      </c>
      <c r="B1084" s="19" t="s">
        <v>2015</v>
      </c>
      <c r="C1084" s="19" t="s">
        <v>774</v>
      </c>
      <c r="D1084" s="19" t="s">
        <v>778</v>
      </c>
      <c r="E1084" s="19" t="s">
        <v>784</v>
      </c>
      <c r="F1084" s="19">
        <v>0</v>
      </c>
      <c r="G1084" s="43">
        <v>1133.96</v>
      </c>
    </row>
    <row r="1085" spans="1:7" x14ac:dyDescent="0.3">
      <c r="A1085" s="19">
        <v>480</v>
      </c>
      <c r="B1085" s="19" t="s">
        <v>2016</v>
      </c>
      <c r="C1085" s="19" t="s">
        <v>807</v>
      </c>
      <c r="D1085" s="19" t="s">
        <v>808</v>
      </c>
      <c r="E1085" s="19" t="s">
        <v>784</v>
      </c>
      <c r="F1085" s="19">
        <v>0</v>
      </c>
      <c r="G1085" s="43">
        <v>3000</v>
      </c>
    </row>
    <row r="1086" spans="1:7" x14ac:dyDescent="0.3">
      <c r="A1086" s="19">
        <v>2207</v>
      </c>
      <c r="B1086" s="19" t="s">
        <v>2017</v>
      </c>
      <c r="C1086" s="19" t="s">
        <v>774</v>
      </c>
      <c r="D1086" s="19" t="s">
        <v>778</v>
      </c>
      <c r="E1086" s="19" t="s">
        <v>784</v>
      </c>
      <c r="F1086" s="19">
        <v>0</v>
      </c>
      <c r="G1086" s="43">
        <v>1434.26</v>
      </c>
    </row>
    <row r="1087" spans="1:7" x14ac:dyDescent="0.3">
      <c r="A1087" s="19">
        <v>203</v>
      </c>
      <c r="B1087" s="19" t="s">
        <v>2018</v>
      </c>
      <c r="C1087" s="19" t="s">
        <v>774</v>
      </c>
      <c r="D1087" s="19" t="s">
        <v>778</v>
      </c>
      <c r="E1087" s="19" t="s">
        <v>784</v>
      </c>
      <c r="F1087" s="19">
        <v>1</v>
      </c>
      <c r="G1087" s="43">
        <v>2781.88</v>
      </c>
    </row>
    <row r="1088" spans="1:7" x14ac:dyDescent="0.3">
      <c r="A1088" s="19">
        <v>199</v>
      </c>
      <c r="B1088" s="19" t="s">
        <v>2019</v>
      </c>
      <c r="C1088" s="19" t="s">
        <v>774</v>
      </c>
      <c r="D1088" s="19" t="s">
        <v>778</v>
      </c>
      <c r="E1088" s="19" t="s">
        <v>784</v>
      </c>
      <c r="F1088" s="19">
        <v>0</v>
      </c>
      <c r="G1088" s="43">
        <v>1921.08</v>
      </c>
    </row>
    <row r="1089" spans="1:7" x14ac:dyDescent="0.3">
      <c r="A1089" s="19">
        <v>717</v>
      </c>
      <c r="B1089" s="19" t="s">
        <v>2020</v>
      </c>
      <c r="C1089" s="19" t="s">
        <v>774</v>
      </c>
      <c r="D1089" s="19" t="s">
        <v>778</v>
      </c>
      <c r="E1089" s="19" t="s">
        <v>784</v>
      </c>
      <c r="F1089" s="19">
        <v>0</v>
      </c>
      <c r="G1089" s="43">
        <v>1768.03</v>
      </c>
    </row>
    <row r="1090" spans="1:7" x14ac:dyDescent="0.3">
      <c r="A1090" s="19">
        <v>3386</v>
      </c>
      <c r="B1090" s="19" t="s">
        <v>2021</v>
      </c>
      <c r="C1090" s="19" t="s">
        <v>899</v>
      </c>
      <c r="D1090" s="19" t="s">
        <v>939</v>
      </c>
      <c r="E1090" s="19" t="s">
        <v>882</v>
      </c>
      <c r="F1090" s="19">
        <v>0</v>
      </c>
      <c r="G1090" s="43">
        <v>2.8</v>
      </c>
    </row>
    <row r="1091" spans="1:7" x14ac:dyDescent="0.3">
      <c r="A1091" s="19">
        <v>385</v>
      </c>
      <c r="B1091" s="19" t="s">
        <v>2022</v>
      </c>
      <c r="C1091" s="19" t="s">
        <v>774</v>
      </c>
      <c r="D1091" s="19" t="s">
        <v>2023</v>
      </c>
      <c r="E1091" s="19" t="s">
        <v>784</v>
      </c>
      <c r="F1091" s="19">
        <v>0</v>
      </c>
      <c r="G1091" s="43">
        <v>105</v>
      </c>
    </row>
    <row r="1092" spans="1:7" x14ac:dyDescent="0.3">
      <c r="A1092" s="19">
        <v>326</v>
      </c>
      <c r="B1092" s="19" t="s">
        <v>2024</v>
      </c>
      <c r="C1092" s="19" t="s">
        <v>807</v>
      </c>
      <c r="D1092" s="19" t="s">
        <v>1554</v>
      </c>
      <c r="E1092" s="19" t="s">
        <v>784</v>
      </c>
      <c r="F1092" s="19">
        <v>1</v>
      </c>
      <c r="G1092" s="43">
        <v>115.73</v>
      </c>
    </row>
    <row r="1093" spans="1:7" x14ac:dyDescent="0.3">
      <c r="A1093" s="19">
        <v>307</v>
      </c>
      <c r="B1093" s="19" t="s">
        <v>2025</v>
      </c>
      <c r="C1093" s="19" t="s">
        <v>807</v>
      </c>
      <c r="D1093" s="19" t="s">
        <v>808</v>
      </c>
      <c r="E1093" s="19" t="s">
        <v>784</v>
      </c>
      <c r="F1093" s="19">
        <v>0</v>
      </c>
      <c r="G1093" s="43">
        <v>350</v>
      </c>
    </row>
    <row r="1094" spans="1:7" x14ac:dyDescent="0.3">
      <c r="A1094" s="19">
        <v>395</v>
      </c>
      <c r="B1094" s="19" t="s">
        <v>2026</v>
      </c>
      <c r="C1094" s="19" t="s">
        <v>807</v>
      </c>
      <c r="D1094" s="19" t="s">
        <v>2027</v>
      </c>
      <c r="E1094" s="19" t="s">
        <v>784</v>
      </c>
      <c r="F1094" s="19">
        <v>1</v>
      </c>
      <c r="G1094" s="43">
        <v>163</v>
      </c>
    </row>
    <row r="1095" spans="1:7" x14ac:dyDescent="0.3">
      <c r="A1095" s="19">
        <v>3789</v>
      </c>
      <c r="B1095" s="19" t="s">
        <v>2028</v>
      </c>
      <c r="C1095" s="19" t="s">
        <v>899</v>
      </c>
      <c r="D1095" s="19" t="s">
        <v>939</v>
      </c>
      <c r="E1095" s="19" t="s">
        <v>882</v>
      </c>
      <c r="F1095" s="19">
        <v>0</v>
      </c>
      <c r="G1095" s="43">
        <v>2.0699999999999998</v>
      </c>
    </row>
    <row r="1096" spans="1:7" x14ac:dyDescent="0.3">
      <c r="A1096" s="19">
        <v>2395</v>
      </c>
      <c r="B1096" s="19" t="s">
        <v>2029</v>
      </c>
      <c r="C1096" s="19" t="s">
        <v>807</v>
      </c>
      <c r="D1096" s="19" t="s">
        <v>808</v>
      </c>
      <c r="E1096" s="19" t="s">
        <v>784</v>
      </c>
      <c r="F1096" s="19">
        <v>0</v>
      </c>
      <c r="G1096" s="43">
        <v>0</v>
      </c>
    </row>
    <row r="1097" spans="1:7" x14ac:dyDescent="0.3">
      <c r="A1097" s="19">
        <v>260</v>
      </c>
      <c r="B1097" s="19" t="s">
        <v>2030</v>
      </c>
      <c r="C1097" s="19" t="s">
        <v>774</v>
      </c>
      <c r="D1097" s="19" t="s">
        <v>778</v>
      </c>
      <c r="E1097" s="19" t="s">
        <v>784</v>
      </c>
      <c r="F1097" s="19">
        <v>0</v>
      </c>
      <c r="G1097" s="43">
        <v>495.11</v>
      </c>
    </row>
    <row r="1098" spans="1:7" x14ac:dyDescent="0.3">
      <c r="A1098" s="19">
        <v>192</v>
      </c>
      <c r="B1098" s="19" t="s">
        <v>2031</v>
      </c>
      <c r="C1098" s="19" t="s">
        <v>774</v>
      </c>
      <c r="D1098" s="19" t="s">
        <v>794</v>
      </c>
      <c r="E1098" s="19" t="s">
        <v>784</v>
      </c>
      <c r="F1098" s="19">
        <v>1</v>
      </c>
      <c r="G1098" s="43">
        <v>1143.0999999999999</v>
      </c>
    </row>
    <row r="1099" spans="1:7" x14ac:dyDescent="0.3">
      <c r="A1099" s="19">
        <v>1816</v>
      </c>
      <c r="B1099" s="19" t="s">
        <v>2032</v>
      </c>
      <c r="C1099" s="19" t="s">
        <v>807</v>
      </c>
      <c r="D1099" s="19" t="s">
        <v>808</v>
      </c>
      <c r="E1099" s="19" t="s">
        <v>784</v>
      </c>
      <c r="F1099" s="19">
        <v>0</v>
      </c>
      <c r="G1099" s="43">
        <v>600</v>
      </c>
    </row>
    <row r="1100" spans="1:7" x14ac:dyDescent="0.3">
      <c r="A1100" s="19">
        <v>308</v>
      </c>
      <c r="B1100" s="19" t="s">
        <v>2033</v>
      </c>
      <c r="C1100" s="19" t="s">
        <v>807</v>
      </c>
      <c r="D1100" s="19" t="s">
        <v>808</v>
      </c>
      <c r="E1100" s="19" t="s">
        <v>784</v>
      </c>
      <c r="F1100" s="19">
        <v>0</v>
      </c>
      <c r="G1100" s="43">
        <v>350</v>
      </c>
    </row>
    <row r="1101" spans="1:7" x14ac:dyDescent="0.3">
      <c r="A1101" s="19">
        <v>1445</v>
      </c>
      <c r="B1101" s="19" t="s">
        <v>2034</v>
      </c>
      <c r="C1101" s="19" t="s">
        <v>774</v>
      </c>
      <c r="D1101" s="19" t="s">
        <v>2002</v>
      </c>
      <c r="E1101" s="19" t="s">
        <v>784</v>
      </c>
      <c r="F1101" s="19">
        <v>0</v>
      </c>
      <c r="G1101" s="43">
        <v>4021.96</v>
      </c>
    </row>
    <row r="1102" spans="1:7" x14ac:dyDescent="0.3">
      <c r="A1102" s="19">
        <v>1975</v>
      </c>
      <c r="B1102" s="19" t="s">
        <v>2035</v>
      </c>
      <c r="C1102" s="19" t="s">
        <v>807</v>
      </c>
      <c r="D1102" s="19" t="s">
        <v>808</v>
      </c>
      <c r="E1102" s="19" t="s">
        <v>784</v>
      </c>
      <c r="F1102" s="19">
        <v>0</v>
      </c>
      <c r="G1102" s="43">
        <v>2000</v>
      </c>
    </row>
    <row r="1103" spans="1:7" x14ac:dyDescent="0.3">
      <c r="A1103" s="19">
        <v>2184</v>
      </c>
      <c r="B1103" s="19" t="s">
        <v>2036</v>
      </c>
      <c r="C1103" s="19" t="s">
        <v>774</v>
      </c>
      <c r="D1103" s="19" t="s">
        <v>788</v>
      </c>
      <c r="E1103" s="19" t="s">
        <v>784</v>
      </c>
      <c r="F1103" s="19">
        <v>0</v>
      </c>
      <c r="G1103" s="43">
        <v>1156</v>
      </c>
    </row>
    <row r="1104" spans="1:7" x14ac:dyDescent="0.3">
      <c r="A1104" s="19">
        <v>2369</v>
      </c>
      <c r="B1104" s="19" t="s">
        <v>2037</v>
      </c>
      <c r="C1104" s="19" t="s">
        <v>774</v>
      </c>
      <c r="D1104" s="19" t="s">
        <v>2038</v>
      </c>
      <c r="E1104" s="19" t="s">
        <v>784</v>
      </c>
      <c r="F1104" s="19">
        <v>0</v>
      </c>
      <c r="G1104" s="43">
        <v>250</v>
      </c>
    </row>
    <row r="1105" spans="1:7" x14ac:dyDescent="0.3">
      <c r="A1105" s="19">
        <v>357</v>
      </c>
      <c r="B1105" s="19" t="s">
        <v>2039</v>
      </c>
      <c r="C1105" s="19" t="s">
        <v>899</v>
      </c>
      <c r="D1105" s="19" t="s">
        <v>775</v>
      </c>
      <c r="E1105" s="19" t="s">
        <v>784</v>
      </c>
      <c r="F1105" s="19">
        <v>0</v>
      </c>
      <c r="G1105" s="43">
        <v>692</v>
      </c>
    </row>
    <row r="1106" spans="1:7" x14ac:dyDescent="0.3">
      <c r="A1106" s="19">
        <v>742</v>
      </c>
      <c r="B1106" s="19" t="s">
        <v>2040</v>
      </c>
      <c r="C1106" s="19" t="s">
        <v>774</v>
      </c>
      <c r="D1106" s="19" t="s">
        <v>778</v>
      </c>
      <c r="E1106" s="19" t="s">
        <v>784</v>
      </c>
      <c r="F1106" s="19">
        <v>0</v>
      </c>
      <c r="G1106" s="43">
        <v>1078.98</v>
      </c>
    </row>
    <row r="1107" spans="1:7" x14ac:dyDescent="0.3">
      <c r="A1107" s="19">
        <v>353</v>
      </c>
      <c r="B1107" s="19" t="s">
        <v>2041</v>
      </c>
      <c r="C1107" s="19" t="s">
        <v>774</v>
      </c>
      <c r="D1107" s="19" t="s">
        <v>775</v>
      </c>
      <c r="E1107" s="19" t="s">
        <v>784</v>
      </c>
      <c r="F1107" s="19">
        <v>0</v>
      </c>
      <c r="G1107" s="43">
        <v>3808.74</v>
      </c>
    </row>
    <row r="1108" spans="1:7" x14ac:dyDescent="0.3">
      <c r="A1108" s="19">
        <v>1455</v>
      </c>
      <c r="B1108" s="19" t="s">
        <v>2042</v>
      </c>
      <c r="C1108" s="19" t="s">
        <v>774</v>
      </c>
      <c r="D1108" s="19" t="s">
        <v>783</v>
      </c>
      <c r="E1108" s="19" t="s">
        <v>784</v>
      </c>
      <c r="F1108" s="19">
        <v>0</v>
      </c>
      <c r="G1108" s="43">
        <v>3260.03</v>
      </c>
    </row>
    <row r="1109" spans="1:7" x14ac:dyDescent="0.3">
      <c r="A1109" s="19">
        <v>743</v>
      </c>
      <c r="B1109" s="19" t="s">
        <v>2043</v>
      </c>
      <c r="C1109" s="19" t="s">
        <v>774</v>
      </c>
      <c r="D1109" s="19" t="s">
        <v>778</v>
      </c>
      <c r="E1109" s="19" t="s">
        <v>784</v>
      </c>
      <c r="F1109" s="19">
        <v>0</v>
      </c>
      <c r="G1109" s="43">
        <v>2920.67</v>
      </c>
    </row>
    <row r="1110" spans="1:7" x14ac:dyDescent="0.3">
      <c r="A1110" s="19">
        <v>1781</v>
      </c>
      <c r="B1110" s="19" t="s">
        <v>2044</v>
      </c>
      <c r="C1110" s="19" t="s">
        <v>774</v>
      </c>
      <c r="D1110" s="19" t="s">
        <v>778</v>
      </c>
      <c r="E1110" s="19" t="s">
        <v>784</v>
      </c>
      <c r="F1110" s="19">
        <v>0</v>
      </c>
      <c r="G1110" s="43">
        <v>185.77</v>
      </c>
    </row>
    <row r="1111" spans="1:7" x14ac:dyDescent="0.3">
      <c r="A1111" s="19">
        <v>762</v>
      </c>
      <c r="B1111" s="19" t="s">
        <v>2045</v>
      </c>
      <c r="C1111" s="19" t="s">
        <v>774</v>
      </c>
      <c r="D1111" s="19" t="s">
        <v>786</v>
      </c>
      <c r="E1111" s="19" t="s">
        <v>784</v>
      </c>
      <c r="F1111" s="19">
        <v>1</v>
      </c>
      <c r="G1111" s="43">
        <v>1081.58</v>
      </c>
    </row>
    <row r="1112" spans="1:7" x14ac:dyDescent="0.3">
      <c r="A1112" s="19">
        <v>204</v>
      </c>
      <c r="B1112" s="19" t="s">
        <v>2046</v>
      </c>
      <c r="C1112" s="19" t="s">
        <v>774</v>
      </c>
      <c r="D1112" s="19" t="s">
        <v>778</v>
      </c>
      <c r="E1112" s="19" t="s">
        <v>784</v>
      </c>
      <c r="F1112" s="19">
        <v>0.45300000000000001</v>
      </c>
      <c r="G1112" s="43">
        <v>2552.89</v>
      </c>
    </row>
    <row r="1113" spans="1:7" x14ac:dyDescent="0.3">
      <c r="A1113" s="19">
        <v>1769</v>
      </c>
      <c r="B1113" s="19" t="s">
        <v>2047</v>
      </c>
      <c r="C1113" s="19" t="s">
        <v>774</v>
      </c>
      <c r="D1113" s="19" t="s">
        <v>786</v>
      </c>
      <c r="E1113" s="19" t="s">
        <v>784</v>
      </c>
      <c r="F1113" s="19">
        <v>0</v>
      </c>
      <c r="G1113" s="43">
        <v>1477.14</v>
      </c>
    </row>
    <row r="1114" spans="1:7" x14ac:dyDescent="0.3">
      <c r="A1114" s="19">
        <v>346</v>
      </c>
      <c r="B1114" s="19" t="s">
        <v>2048</v>
      </c>
      <c r="C1114" s="19" t="s">
        <v>774</v>
      </c>
      <c r="D1114" s="19" t="s">
        <v>778</v>
      </c>
      <c r="E1114" s="19" t="s">
        <v>784</v>
      </c>
      <c r="F1114" s="19">
        <v>0</v>
      </c>
      <c r="G1114" s="43">
        <v>3273.24</v>
      </c>
    </row>
    <row r="1115" spans="1:7" x14ac:dyDescent="0.3">
      <c r="A1115" s="19">
        <v>2062</v>
      </c>
      <c r="B1115" s="19" t="s">
        <v>2049</v>
      </c>
      <c r="C1115" s="19" t="s">
        <v>774</v>
      </c>
      <c r="D1115" s="19" t="s">
        <v>778</v>
      </c>
      <c r="E1115" s="19" t="s">
        <v>784</v>
      </c>
      <c r="F1115" s="19">
        <v>1</v>
      </c>
      <c r="G1115" s="43">
        <v>1527.4</v>
      </c>
    </row>
    <row r="1116" spans="1:7" x14ac:dyDescent="0.3">
      <c r="A1116" s="19">
        <v>198</v>
      </c>
      <c r="B1116" s="19" t="s">
        <v>2050</v>
      </c>
      <c r="C1116" s="19" t="s">
        <v>774</v>
      </c>
      <c r="D1116" s="19" t="s">
        <v>1851</v>
      </c>
      <c r="E1116" s="19" t="s">
        <v>784</v>
      </c>
      <c r="F1116" s="19">
        <v>1</v>
      </c>
      <c r="G1116" s="43">
        <v>1562</v>
      </c>
    </row>
    <row r="1117" spans="1:7" x14ac:dyDescent="0.3">
      <c r="A1117" s="19">
        <v>2370</v>
      </c>
      <c r="B1117" s="19" t="s">
        <v>2051</v>
      </c>
      <c r="C1117" s="19" t="s">
        <v>774</v>
      </c>
      <c r="D1117" s="19" t="s">
        <v>2038</v>
      </c>
      <c r="E1117" s="19" t="s">
        <v>784</v>
      </c>
      <c r="F1117" s="19">
        <v>0</v>
      </c>
      <c r="G1117" s="43">
        <v>1006.57</v>
      </c>
    </row>
    <row r="1118" spans="1:7" x14ac:dyDescent="0.3">
      <c r="A1118" s="19">
        <v>1807</v>
      </c>
      <c r="B1118" s="19" t="s">
        <v>2052</v>
      </c>
      <c r="C1118" s="19" t="s">
        <v>774</v>
      </c>
      <c r="D1118" s="19" t="s">
        <v>778</v>
      </c>
      <c r="E1118" s="19" t="s">
        <v>784</v>
      </c>
      <c r="F1118" s="19">
        <v>0</v>
      </c>
      <c r="G1118" s="43">
        <v>2698.8</v>
      </c>
    </row>
    <row r="1119" spans="1:7" x14ac:dyDescent="0.3">
      <c r="A1119" s="19">
        <v>1925</v>
      </c>
      <c r="B1119" s="19" t="s">
        <v>2053</v>
      </c>
      <c r="C1119" s="19" t="s">
        <v>807</v>
      </c>
      <c r="D1119" s="19" t="s">
        <v>1847</v>
      </c>
      <c r="E1119" s="19" t="s">
        <v>784</v>
      </c>
      <c r="F1119" s="19">
        <v>1</v>
      </c>
      <c r="G1119" s="43">
        <v>3337.11</v>
      </c>
    </row>
    <row r="1120" spans="1:7" x14ac:dyDescent="0.3">
      <c r="A1120" s="19">
        <v>1365</v>
      </c>
      <c r="B1120" s="19" t="s">
        <v>2054</v>
      </c>
      <c r="C1120" s="19" t="s">
        <v>774</v>
      </c>
      <c r="D1120" s="19" t="s">
        <v>775</v>
      </c>
      <c r="E1120" s="19" t="s">
        <v>784</v>
      </c>
      <c r="F1120" s="19">
        <v>0</v>
      </c>
      <c r="G1120" s="43">
        <v>13166</v>
      </c>
    </row>
    <row r="1121" spans="1:7" x14ac:dyDescent="0.3">
      <c r="A1121" s="19">
        <v>1348</v>
      </c>
      <c r="B1121" s="19" t="s">
        <v>2055</v>
      </c>
      <c r="C1121" s="19" t="s">
        <v>774</v>
      </c>
      <c r="D1121" s="19" t="s">
        <v>775</v>
      </c>
      <c r="E1121" s="19" t="s">
        <v>784</v>
      </c>
      <c r="F1121" s="19">
        <v>0</v>
      </c>
      <c r="G1121" s="43">
        <v>1790</v>
      </c>
    </row>
    <row r="1122" spans="1:7" x14ac:dyDescent="0.3">
      <c r="A1122" s="19">
        <v>1800</v>
      </c>
      <c r="B1122" s="19" t="s">
        <v>2056</v>
      </c>
      <c r="C1122" s="19" t="s">
        <v>807</v>
      </c>
      <c r="D1122" s="19" t="s">
        <v>808</v>
      </c>
      <c r="E1122" s="19" t="s">
        <v>784</v>
      </c>
      <c r="F1122" s="19">
        <v>0</v>
      </c>
      <c r="G1122" s="43">
        <v>1800</v>
      </c>
    </row>
    <row r="1123" spans="1:7" x14ac:dyDescent="0.3">
      <c r="A1123" s="19">
        <v>2691</v>
      </c>
      <c r="B1123" s="19" t="s">
        <v>2057</v>
      </c>
      <c r="C1123" s="19" t="s">
        <v>774</v>
      </c>
      <c r="D1123" s="19" t="s">
        <v>1554</v>
      </c>
      <c r="E1123" s="19" t="s">
        <v>784</v>
      </c>
      <c r="F1123" s="19">
        <v>0</v>
      </c>
      <c r="G1123" s="43">
        <v>3950</v>
      </c>
    </row>
    <row r="1124" spans="1:7" x14ac:dyDescent="0.3">
      <c r="A1124" s="19">
        <v>1444</v>
      </c>
      <c r="B1124" s="19" t="s">
        <v>2058</v>
      </c>
      <c r="C1124" s="19" t="s">
        <v>774</v>
      </c>
      <c r="D1124" s="19" t="s">
        <v>2002</v>
      </c>
      <c r="E1124" s="19" t="s">
        <v>784</v>
      </c>
      <c r="F1124" s="19">
        <v>0</v>
      </c>
      <c r="G1124" s="43">
        <v>4101.92</v>
      </c>
    </row>
    <row r="1125" spans="1:7" x14ac:dyDescent="0.3">
      <c r="A1125" s="19">
        <v>2339</v>
      </c>
      <c r="B1125" s="19" t="s">
        <v>2059</v>
      </c>
      <c r="C1125" s="19" t="s">
        <v>774</v>
      </c>
      <c r="D1125" s="19" t="s">
        <v>1911</v>
      </c>
      <c r="E1125" s="19" t="s">
        <v>784</v>
      </c>
      <c r="F1125" s="19">
        <v>0</v>
      </c>
      <c r="G1125" s="43">
        <v>535.91</v>
      </c>
    </row>
    <row r="1126" spans="1:7" x14ac:dyDescent="0.3">
      <c r="A1126" s="19">
        <v>1876</v>
      </c>
      <c r="B1126" s="19" t="s">
        <v>2060</v>
      </c>
      <c r="C1126" s="19" t="s">
        <v>774</v>
      </c>
      <c r="D1126" s="19" t="s">
        <v>1911</v>
      </c>
      <c r="E1126" s="19" t="s">
        <v>784</v>
      </c>
      <c r="F1126" s="19">
        <v>0</v>
      </c>
      <c r="G1126" s="43">
        <v>1233.25</v>
      </c>
    </row>
    <row r="1127" spans="1:7" x14ac:dyDescent="0.3">
      <c r="A1127" s="19">
        <v>517</v>
      </c>
      <c r="B1127" s="19" t="s">
        <v>2061</v>
      </c>
      <c r="C1127" s="19" t="s">
        <v>774</v>
      </c>
      <c r="D1127" s="19" t="s">
        <v>1911</v>
      </c>
      <c r="E1127" s="19" t="s">
        <v>784</v>
      </c>
      <c r="F1127" s="19">
        <v>4.4000000000000004</v>
      </c>
      <c r="G1127" s="43">
        <v>546.21</v>
      </c>
    </row>
    <row r="1128" spans="1:7" x14ac:dyDescent="0.3">
      <c r="A1128" s="19">
        <v>2340</v>
      </c>
      <c r="B1128" s="19" t="s">
        <v>2062</v>
      </c>
      <c r="C1128" s="19" t="s">
        <v>774</v>
      </c>
      <c r="D1128" s="19" t="s">
        <v>1911</v>
      </c>
      <c r="E1128" s="19" t="s">
        <v>784</v>
      </c>
      <c r="F1128" s="19">
        <v>0</v>
      </c>
      <c r="G1128" s="43">
        <v>3744.84</v>
      </c>
    </row>
    <row r="1129" spans="1:7" x14ac:dyDescent="0.3">
      <c r="A1129" s="19">
        <v>2242</v>
      </c>
      <c r="B1129" s="19" t="s">
        <v>2063</v>
      </c>
      <c r="C1129" s="19" t="s">
        <v>774</v>
      </c>
      <c r="D1129" s="19" t="s">
        <v>778</v>
      </c>
      <c r="E1129" s="19" t="s">
        <v>784</v>
      </c>
      <c r="F1129" s="19">
        <v>0</v>
      </c>
      <c r="G1129" s="43">
        <v>2805.08</v>
      </c>
    </row>
    <row r="1130" spans="1:7" x14ac:dyDescent="0.3">
      <c r="A1130" s="19">
        <v>2245</v>
      </c>
      <c r="B1130" s="19" t="s">
        <v>2064</v>
      </c>
      <c r="C1130" s="19" t="s">
        <v>807</v>
      </c>
      <c r="D1130" s="19" t="s">
        <v>808</v>
      </c>
      <c r="E1130" s="19" t="s">
        <v>784</v>
      </c>
      <c r="F1130" s="19">
        <v>0</v>
      </c>
      <c r="G1130" s="43">
        <v>2000</v>
      </c>
    </row>
    <row r="1131" spans="1:7" x14ac:dyDescent="0.3">
      <c r="A1131" s="19">
        <v>2167</v>
      </c>
      <c r="B1131" s="19" t="s">
        <v>2065</v>
      </c>
      <c r="C1131" s="19" t="s">
        <v>774</v>
      </c>
      <c r="D1131" s="19" t="s">
        <v>788</v>
      </c>
      <c r="E1131" s="19" t="s">
        <v>784</v>
      </c>
      <c r="F1131" s="19">
        <v>0</v>
      </c>
      <c r="G1131" s="43">
        <v>495.07</v>
      </c>
    </row>
    <row r="1132" spans="1:7" x14ac:dyDescent="0.3">
      <c r="A1132" s="19">
        <v>1792</v>
      </c>
      <c r="B1132" s="19" t="s">
        <v>2066</v>
      </c>
      <c r="C1132" s="19" t="s">
        <v>807</v>
      </c>
      <c r="D1132" s="19" t="s">
        <v>808</v>
      </c>
      <c r="E1132" s="19" t="s">
        <v>784</v>
      </c>
      <c r="F1132" s="19">
        <v>0</v>
      </c>
      <c r="G1132" s="43">
        <v>1300</v>
      </c>
    </row>
    <row r="1133" spans="1:7" x14ac:dyDescent="0.3">
      <c r="A1133" s="19">
        <v>1354</v>
      </c>
      <c r="B1133" s="19" t="s">
        <v>2067</v>
      </c>
      <c r="C1133" s="19" t="s">
        <v>774</v>
      </c>
      <c r="D1133" s="19" t="s">
        <v>775</v>
      </c>
      <c r="E1133" s="19" t="s">
        <v>784</v>
      </c>
      <c r="F1133" s="19">
        <v>0.45300000000000001</v>
      </c>
      <c r="G1133" s="43">
        <v>2882.37</v>
      </c>
    </row>
    <row r="1134" spans="1:7" x14ac:dyDescent="0.3">
      <c r="A1134" s="19">
        <v>479</v>
      </c>
      <c r="B1134" s="19" t="s">
        <v>2068</v>
      </c>
      <c r="C1134" s="19" t="s">
        <v>807</v>
      </c>
      <c r="D1134" s="19" t="s">
        <v>808</v>
      </c>
      <c r="E1134" s="19" t="s">
        <v>784</v>
      </c>
      <c r="F1134" s="19">
        <v>0</v>
      </c>
      <c r="G1134" s="43">
        <v>1300</v>
      </c>
    </row>
    <row r="1135" spans="1:7" x14ac:dyDescent="0.3">
      <c r="A1135" s="19">
        <v>2235</v>
      </c>
      <c r="B1135" s="19" t="s">
        <v>2069</v>
      </c>
      <c r="C1135" s="19" t="s">
        <v>774</v>
      </c>
      <c r="D1135" s="19" t="s">
        <v>775</v>
      </c>
      <c r="E1135" s="19" t="s">
        <v>776</v>
      </c>
      <c r="F1135" s="19">
        <v>0.45300000000000001</v>
      </c>
      <c r="G1135" s="43">
        <v>1061.4000000000001</v>
      </c>
    </row>
    <row r="1136" spans="1:7" x14ac:dyDescent="0.3">
      <c r="A1136" s="19">
        <v>1396</v>
      </c>
      <c r="B1136" s="19" t="s">
        <v>2070</v>
      </c>
      <c r="C1136" s="19" t="s">
        <v>774</v>
      </c>
      <c r="D1136" s="19" t="s">
        <v>775</v>
      </c>
      <c r="E1136" s="19" t="s">
        <v>784</v>
      </c>
      <c r="F1136" s="19">
        <v>0</v>
      </c>
      <c r="G1136" s="43">
        <v>9655.17</v>
      </c>
    </row>
    <row r="1137" spans="1:7" x14ac:dyDescent="0.3">
      <c r="A1137" s="19">
        <v>1791</v>
      </c>
      <c r="B1137" s="19" t="s">
        <v>2071</v>
      </c>
      <c r="C1137" s="19" t="s">
        <v>774</v>
      </c>
      <c r="D1137" s="19" t="s">
        <v>778</v>
      </c>
      <c r="E1137" s="19" t="s">
        <v>784</v>
      </c>
      <c r="F1137" s="19">
        <v>0</v>
      </c>
      <c r="G1137" s="43">
        <v>1199.25</v>
      </c>
    </row>
    <row r="1138" spans="1:7" x14ac:dyDescent="0.3">
      <c r="A1138" s="19">
        <v>746</v>
      </c>
      <c r="B1138" s="19" t="s">
        <v>2072</v>
      </c>
      <c r="C1138" s="19" t="s">
        <v>774</v>
      </c>
      <c r="D1138" s="19" t="s">
        <v>778</v>
      </c>
      <c r="E1138" s="19" t="s">
        <v>784</v>
      </c>
      <c r="F1138" s="19">
        <v>0</v>
      </c>
      <c r="G1138" s="43">
        <v>4029.56</v>
      </c>
    </row>
    <row r="1139" spans="1:7" x14ac:dyDescent="0.3">
      <c r="A1139" s="19">
        <v>747</v>
      </c>
      <c r="B1139" s="19" t="s">
        <v>2073</v>
      </c>
      <c r="C1139" s="19" t="s">
        <v>774</v>
      </c>
      <c r="D1139" s="19" t="s">
        <v>778</v>
      </c>
      <c r="E1139" s="19" t="s">
        <v>784</v>
      </c>
      <c r="F1139" s="19">
        <v>0</v>
      </c>
      <c r="G1139" s="43">
        <v>1298.5899999999999</v>
      </c>
    </row>
    <row r="1140" spans="1:7" x14ac:dyDescent="0.3">
      <c r="A1140" s="19">
        <v>722</v>
      </c>
      <c r="B1140" s="19" t="s">
        <v>2074</v>
      </c>
      <c r="C1140" s="19" t="s">
        <v>774</v>
      </c>
      <c r="D1140" s="19" t="s">
        <v>794</v>
      </c>
      <c r="E1140" s="19" t="s">
        <v>784</v>
      </c>
      <c r="F1140" s="19">
        <v>1</v>
      </c>
      <c r="G1140" s="43">
        <v>763.68</v>
      </c>
    </row>
    <row r="1141" spans="1:7" x14ac:dyDescent="0.3">
      <c r="A1141" s="19">
        <v>3630</v>
      </c>
      <c r="B1141" s="19" t="s">
        <v>2075</v>
      </c>
      <c r="C1141" s="19" t="s">
        <v>774</v>
      </c>
      <c r="D1141" s="19" t="s">
        <v>778</v>
      </c>
      <c r="E1141" s="19" t="s">
        <v>784</v>
      </c>
      <c r="F1141" s="19">
        <v>0</v>
      </c>
      <c r="G1141" s="43">
        <v>1858</v>
      </c>
    </row>
    <row r="1142" spans="1:7" x14ac:dyDescent="0.3">
      <c r="A1142" s="19">
        <v>1403</v>
      </c>
      <c r="B1142" s="19" t="s">
        <v>2076</v>
      </c>
      <c r="C1142" s="19" t="s">
        <v>774</v>
      </c>
      <c r="D1142" s="19" t="s">
        <v>778</v>
      </c>
      <c r="E1142" s="19" t="s">
        <v>784</v>
      </c>
      <c r="F1142" s="19">
        <v>1</v>
      </c>
      <c r="G1142" s="43">
        <v>1629.6</v>
      </c>
    </row>
    <row r="1143" spans="1:7" x14ac:dyDescent="0.3">
      <c r="A1143" s="19">
        <v>2396</v>
      </c>
      <c r="B1143" s="19" t="s">
        <v>2077</v>
      </c>
      <c r="C1143" s="19" t="s">
        <v>807</v>
      </c>
      <c r="D1143" s="19" t="s">
        <v>808</v>
      </c>
      <c r="E1143" s="19" t="s">
        <v>784</v>
      </c>
      <c r="F1143" s="19">
        <v>0</v>
      </c>
      <c r="G1143" s="43">
        <v>0</v>
      </c>
    </row>
    <row r="1144" spans="1:7" x14ac:dyDescent="0.3">
      <c r="A1144" s="19">
        <v>2480</v>
      </c>
      <c r="B1144" s="19" t="s">
        <v>2078</v>
      </c>
      <c r="C1144" s="19" t="s">
        <v>774</v>
      </c>
      <c r="D1144" s="19" t="s">
        <v>778</v>
      </c>
      <c r="E1144" s="19" t="s">
        <v>784</v>
      </c>
      <c r="F1144" s="19">
        <v>0</v>
      </c>
      <c r="G1144" s="43">
        <v>900</v>
      </c>
    </row>
    <row r="1145" spans="1:7" x14ac:dyDescent="0.3">
      <c r="A1145" s="19">
        <v>1787</v>
      </c>
      <c r="B1145" s="19" t="s">
        <v>2079</v>
      </c>
      <c r="C1145" s="19" t="s">
        <v>774</v>
      </c>
      <c r="D1145" s="19" t="s">
        <v>778</v>
      </c>
      <c r="E1145" s="19" t="s">
        <v>784</v>
      </c>
      <c r="F1145" s="19">
        <v>0</v>
      </c>
      <c r="G1145" s="43">
        <v>706.65</v>
      </c>
    </row>
    <row r="1146" spans="1:7" x14ac:dyDescent="0.3">
      <c r="A1146" s="19">
        <v>398</v>
      </c>
      <c r="B1146" s="19" t="s">
        <v>2080</v>
      </c>
      <c r="C1146" s="19" t="s">
        <v>774</v>
      </c>
      <c r="D1146" s="19" t="s">
        <v>794</v>
      </c>
      <c r="E1146" s="19" t="s">
        <v>784</v>
      </c>
      <c r="F1146" s="19">
        <v>1</v>
      </c>
      <c r="G1146" s="43">
        <v>350.2</v>
      </c>
    </row>
    <row r="1147" spans="1:7" x14ac:dyDescent="0.3">
      <c r="A1147" s="19">
        <v>3320</v>
      </c>
      <c r="B1147" s="19" t="s">
        <v>2081</v>
      </c>
      <c r="C1147" s="19" t="s">
        <v>774</v>
      </c>
      <c r="D1147" s="19" t="s">
        <v>854</v>
      </c>
      <c r="E1147" s="19" t="s">
        <v>784</v>
      </c>
      <c r="F1147" s="19">
        <v>0</v>
      </c>
      <c r="G1147" s="43">
        <v>0</v>
      </c>
    </row>
    <row r="1148" spans="1:7" x14ac:dyDescent="0.3">
      <c r="A1148" s="19">
        <v>2936</v>
      </c>
      <c r="B1148" s="19" t="s">
        <v>2082</v>
      </c>
      <c r="C1148" s="19" t="s">
        <v>774</v>
      </c>
      <c r="D1148" s="19" t="s">
        <v>778</v>
      </c>
      <c r="E1148" s="19" t="s">
        <v>784</v>
      </c>
      <c r="F1148" s="19">
        <v>0</v>
      </c>
      <c r="G1148" s="43">
        <v>1225.7</v>
      </c>
    </row>
    <row r="1149" spans="1:7" x14ac:dyDescent="0.3">
      <c r="A1149" s="19">
        <v>377</v>
      </c>
      <c r="B1149" s="19" t="s">
        <v>2083</v>
      </c>
      <c r="C1149" s="19" t="s">
        <v>774</v>
      </c>
      <c r="D1149" s="19" t="s">
        <v>1851</v>
      </c>
      <c r="E1149" s="19" t="s">
        <v>784</v>
      </c>
      <c r="F1149" s="19">
        <v>1</v>
      </c>
      <c r="G1149" s="43">
        <v>302.20999999999998</v>
      </c>
    </row>
    <row r="1150" spans="1:7" x14ac:dyDescent="0.3">
      <c r="A1150" s="19">
        <v>768</v>
      </c>
      <c r="B1150" s="19" t="s">
        <v>2084</v>
      </c>
      <c r="C1150" s="19" t="s">
        <v>774</v>
      </c>
      <c r="D1150" s="19" t="s">
        <v>794</v>
      </c>
      <c r="E1150" s="19" t="s">
        <v>784</v>
      </c>
      <c r="F1150" s="19">
        <v>1</v>
      </c>
      <c r="G1150" s="43">
        <v>595.82000000000005</v>
      </c>
    </row>
    <row r="1151" spans="1:7" x14ac:dyDescent="0.3">
      <c r="A1151" s="19">
        <v>3376</v>
      </c>
      <c r="B1151" s="19" t="s">
        <v>2085</v>
      </c>
      <c r="C1151" s="19" t="s">
        <v>899</v>
      </c>
      <c r="D1151" s="19" t="s">
        <v>939</v>
      </c>
      <c r="E1151" s="19" t="s">
        <v>882</v>
      </c>
      <c r="F1151" s="19">
        <v>0</v>
      </c>
      <c r="G1151" s="43">
        <v>4.96</v>
      </c>
    </row>
    <row r="1152" spans="1:7" x14ac:dyDescent="0.3">
      <c r="A1152" s="19">
        <v>3786</v>
      </c>
      <c r="B1152" s="19" t="s">
        <v>2086</v>
      </c>
      <c r="C1152" s="19" t="s">
        <v>899</v>
      </c>
      <c r="D1152" s="19" t="s">
        <v>939</v>
      </c>
      <c r="E1152" s="19" t="s">
        <v>882</v>
      </c>
      <c r="F1152" s="19">
        <v>0</v>
      </c>
      <c r="G1152" s="43">
        <v>3.28</v>
      </c>
    </row>
    <row r="1153" spans="1:7" x14ac:dyDescent="0.3">
      <c r="A1153" s="19">
        <v>2397</v>
      </c>
      <c r="B1153" s="19" t="s">
        <v>2087</v>
      </c>
      <c r="C1153" s="19" t="s">
        <v>807</v>
      </c>
      <c r="D1153" s="19" t="s">
        <v>808</v>
      </c>
      <c r="E1153" s="19" t="s">
        <v>784</v>
      </c>
      <c r="F1153" s="19">
        <v>0</v>
      </c>
      <c r="G1153" s="43">
        <v>2000</v>
      </c>
    </row>
    <row r="1154" spans="1:7" x14ac:dyDescent="0.3">
      <c r="A1154" s="19">
        <v>2487</v>
      </c>
      <c r="B1154" s="19" t="s">
        <v>2088</v>
      </c>
      <c r="C1154" s="19" t="s">
        <v>774</v>
      </c>
      <c r="D1154" s="19" t="s">
        <v>2089</v>
      </c>
      <c r="E1154" s="19" t="s">
        <v>784</v>
      </c>
      <c r="F1154" s="19">
        <v>0</v>
      </c>
      <c r="G1154" s="43">
        <v>350</v>
      </c>
    </row>
    <row r="1155" spans="1:7" x14ac:dyDescent="0.3">
      <c r="A1155" s="19">
        <v>2925</v>
      </c>
      <c r="B1155" s="19" t="s">
        <v>2090</v>
      </c>
      <c r="C1155" s="19" t="s">
        <v>781</v>
      </c>
      <c r="D1155" s="19" t="s">
        <v>819</v>
      </c>
      <c r="E1155" s="19" t="s">
        <v>784</v>
      </c>
      <c r="F1155" s="19">
        <v>0</v>
      </c>
      <c r="G1155" s="43">
        <v>1.1599999999999999</v>
      </c>
    </row>
    <row r="1156" spans="1:7" x14ac:dyDescent="0.3">
      <c r="A1156" s="19">
        <v>1372</v>
      </c>
      <c r="B1156" s="19" t="s">
        <v>2091</v>
      </c>
      <c r="C1156" s="19" t="s">
        <v>774</v>
      </c>
      <c r="D1156" s="19" t="s">
        <v>786</v>
      </c>
      <c r="E1156" s="19" t="s">
        <v>784</v>
      </c>
      <c r="F1156" s="19">
        <v>0</v>
      </c>
      <c r="G1156" s="43">
        <v>2754.1</v>
      </c>
    </row>
    <row r="1157" spans="1:7" x14ac:dyDescent="0.3">
      <c r="A1157" s="19">
        <v>1356</v>
      </c>
      <c r="B1157" s="19" t="s">
        <v>2092</v>
      </c>
      <c r="C1157" s="19" t="s">
        <v>774</v>
      </c>
      <c r="D1157" s="19" t="s">
        <v>775</v>
      </c>
      <c r="E1157" s="19" t="s">
        <v>784</v>
      </c>
      <c r="F1157" s="19">
        <v>0</v>
      </c>
      <c r="G1157" s="43">
        <v>1259.98</v>
      </c>
    </row>
    <row r="1158" spans="1:7" x14ac:dyDescent="0.3">
      <c r="A1158" s="19">
        <v>2777</v>
      </c>
      <c r="B1158" s="19" t="s">
        <v>2093</v>
      </c>
      <c r="C1158" s="19" t="s">
        <v>774</v>
      </c>
      <c r="D1158" s="19" t="s">
        <v>778</v>
      </c>
      <c r="E1158" s="19" t="s">
        <v>784</v>
      </c>
      <c r="F1158" s="19">
        <v>0</v>
      </c>
      <c r="G1158" s="43">
        <v>1012</v>
      </c>
    </row>
    <row r="1159" spans="1:7" x14ac:dyDescent="0.3">
      <c r="A1159" s="19">
        <v>1451</v>
      </c>
      <c r="B1159" s="19" t="s">
        <v>2094</v>
      </c>
      <c r="C1159" s="19" t="s">
        <v>774</v>
      </c>
      <c r="D1159" s="19" t="s">
        <v>2095</v>
      </c>
      <c r="E1159" s="19" t="s">
        <v>784</v>
      </c>
      <c r="F1159" s="19">
        <v>0</v>
      </c>
      <c r="G1159" s="43">
        <v>3954.22</v>
      </c>
    </row>
    <row r="1160" spans="1:7" x14ac:dyDescent="0.3">
      <c r="A1160" s="19">
        <v>600</v>
      </c>
      <c r="B1160" s="19" t="s">
        <v>2096</v>
      </c>
      <c r="C1160" s="19" t="s">
        <v>807</v>
      </c>
      <c r="D1160" s="19" t="s">
        <v>1847</v>
      </c>
      <c r="E1160" s="19" t="s">
        <v>784</v>
      </c>
      <c r="F1160" s="19">
        <v>1</v>
      </c>
      <c r="G1160" s="43">
        <v>1500</v>
      </c>
    </row>
    <row r="1161" spans="1:7" x14ac:dyDescent="0.3">
      <c r="A1161" s="19">
        <v>2253</v>
      </c>
      <c r="B1161" s="19" t="s">
        <v>2097</v>
      </c>
      <c r="C1161" s="19" t="s">
        <v>774</v>
      </c>
      <c r="D1161" s="19" t="s">
        <v>778</v>
      </c>
      <c r="E1161" s="19" t="s">
        <v>784</v>
      </c>
      <c r="F1161" s="19">
        <v>0</v>
      </c>
      <c r="G1161" s="43">
        <v>2805.07</v>
      </c>
    </row>
    <row r="1162" spans="1:7" x14ac:dyDescent="0.3">
      <c r="A1162" s="19">
        <v>1788</v>
      </c>
      <c r="B1162" s="19" t="s">
        <v>2098</v>
      </c>
      <c r="C1162" s="19" t="s">
        <v>774</v>
      </c>
      <c r="D1162" s="19" t="s">
        <v>775</v>
      </c>
      <c r="E1162" s="19" t="s">
        <v>784</v>
      </c>
      <c r="F1162" s="19">
        <v>0.45300000000000001</v>
      </c>
      <c r="G1162" s="43">
        <v>1859.09</v>
      </c>
    </row>
    <row r="1163" spans="1:7" x14ac:dyDescent="0.3">
      <c r="A1163" s="19">
        <v>2224</v>
      </c>
      <c r="B1163" s="19" t="s">
        <v>2099</v>
      </c>
      <c r="C1163" s="19" t="s">
        <v>774</v>
      </c>
      <c r="D1163" s="19" t="s">
        <v>775</v>
      </c>
      <c r="E1163" s="19" t="s">
        <v>784</v>
      </c>
      <c r="F1163" s="19">
        <v>0</v>
      </c>
      <c r="G1163" s="43">
        <v>0</v>
      </c>
    </row>
    <row r="1164" spans="1:7" x14ac:dyDescent="0.3">
      <c r="A1164" s="19">
        <v>2014</v>
      </c>
      <c r="B1164" s="19" t="s">
        <v>2100</v>
      </c>
      <c r="C1164" s="19" t="s">
        <v>774</v>
      </c>
      <c r="D1164" s="19" t="s">
        <v>775</v>
      </c>
      <c r="E1164" s="19" t="s">
        <v>784</v>
      </c>
      <c r="F1164" s="19">
        <v>0</v>
      </c>
      <c r="G1164" s="43">
        <v>5721</v>
      </c>
    </row>
    <row r="1165" spans="1:7" x14ac:dyDescent="0.3">
      <c r="A1165" s="19">
        <v>3319</v>
      </c>
      <c r="B1165" s="19" t="s">
        <v>2101</v>
      </c>
      <c r="C1165" s="19" t="s">
        <v>774</v>
      </c>
      <c r="D1165" s="19" t="s">
        <v>788</v>
      </c>
      <c r="E1165" s="19" t="s">
        <v>784</v>
      </c>
      <c r="F1165" s="19">
        <v>0</v>
      </c>
      <c r="G1165" s="43">
        <v>0</v>
      </c>
    </row>
    <row r="1166" spans="1:7" x14ac:dyDescent="0.3">
      <c r="A1166" s="19">
        <v>2814</v>
      </c>
      <c r="B1166" s="19" t="s">
        <v>2102</v>
      </c>
      <c r="C1166" s="19" t="s">
        <v>774</v>
      </c>
      <c r="D1166" s="19" t="s">
        <v>1911</v>
      </c>
      <c r="E1166" s="19" t="s">
        <v>784</v>
      </c>
      <c r="F1166" s="19">
        <v>0</v>
      </c>
      <c r="G1166" s="43">
        <v>1026.0999999999999</v>
      </c>
    </row>
    <row r="1167" spans="1:7" x14ac:dyDescent="0.3">
      <c r="A1167" s="19">
        <v>2146</v>
      </c>
      <c r="B1167" s="19" t="s">
        <v>2103</v>
      </c>
      <c r="C1167" s="19" t="s">
        <v>774</v>
      </c>
      <c r="D1167" s="19" t="s">
        <v>778</v>
      </c>
      <c r="E1167" s="19" t="s">
        <v>784</v>
      </c>
      <c r="F1167" s="19">
        <v>0</v>
      </c>
      <c r="G1167" s="43">
        <v>2106</v>
      </c>
    </row>
    <row r="1168" spans="1:7" x14ac:dyDescent="0.3">
      <c r="A1168" s="19">
        <v>349</v>
      </c>
      <c r="B1168" s="19" t="s">
        <v>2104</v>
      </c>
      <c r="C1168" s="19" t="s">
        <v>774</v>
      </c>
      <c r="D1168" s="19" t="s">
        <v>778</v>
      </c>
      <c r="E1168" s="19" t="s">
        <v>784</v>
      </c>
      <c r="F1168" s="19">
        <v>0</v>
      </c>
      <c r="G1168" s="43">
        <v>2911</v>
      </c>
    </row>
    <row r="1169" spans="1:7" x14ac:dyDescent="0.3">
      <c r="A1169" s="19">
        <v>3382</v>
      </c>
      <c r="B1169" s="19" t="s">
        <v>2105</v>
      </c>
      <c r="C1169" s="19" t="s">
        <v>899</v>
      </c>
      <c r="D1169" s="19" t="s">
        <v>939</v>
      </c>
      <c r="E1169" s="19" t="s">
        <v>2106</v>
      </c>
      <c r="F1169" s="19">
        <v>0</v>
      </c>
      <c r="G1169" s="43">
        <v>2.23</v>
      </c>
    </row>
    <row r="1170" spans="1:7" x14ac:dyDescent="0.3">
      <c r="A1170" s="19">
        <v>2457</v>
      </c>
      <c r="B1170" s="19" t="s">
        <v>2107</v>
      </c>
      <c r="C1170" s="19" t="s">
        <v>774</v>
      </c>
      <c r="D1170" s="19" t="s">
        <v>854</v>
      </c>
      <c r="E1170" s="19" t="s">
        <v>815</v>
      </c>
      <c r="F1170" s="19">
        <v>0</v>
      </c>
      <c r="G1170" s="43">
        <v>287.55</v>
      </c>
    </row>
    <row r="1171" spans="1:7" x14ac:dyDescent="0.3">
      <c r="A1171" s="19">
        <v>400</v>
      </c>
      <c r="B1171" s="19" t="s">
        <v>2108</v>
      </c>
      <c r="C1171" s="19" t="s">
        <v>774</v>
      </c>
      <c r="D1171" s="19" t="s">
        <v>1911</v>
      </c>
      <c r="E1171" s="19" t="s">
        <v>784</v>
      </c>
      <c r="F1171" s="19">
        <v>4.4000000000000004</v>
      </c>
      <c r="G1171" s="43">
        <v>240.12</v>
      </c>
    </row>
    <row r="1172" spans="1:7" x14ac:dyDescent="0.3">
      <c r="A1172" s="19">
        <v>2341</v>
      </c>
      <c r="B1172" s="19" t="s">
        <v>2109</v>
      </c>
      <c r="C1172" s="19" t="s">
        <v>774</v>
      </c>
      <c r="D1172" s="19" t="s">
        <v>1911</v>
      </c>
      <c r="E1172" s="19" t="s">
        <v>784</v>
      </c>
      <c r="F1172" s="19">
        <v>0</v>
      </c>
      <c r="G1172" s="43">
        <v>477.1</v>
      </c>
    </row>
    <row r="1173" spans="1:7" x14ac:dyDescent="0.3">
      <c r="A1173" s="19">
        <v>2342</v>
      </c>
      <c r="B1173" s="19" t="s">
        <v>2110</v>
      </c>
      <c r="C1173" s="19" t="s">
        <v>774</v>
      </c>
      <c r="D1173" s="19" t="s">
        <v>1911</v>
      </c>
      <c r="E1173" s="19" t="s">
        <v>784</v>
      </c>
      <c r="F1173" s="19">
        <v>0</v>
      </c>
      <c r="G1173" s="43">
        <v>424.81</v>
      </c>
    </row>
    <row r="1174" spans="1:7" x14ac:dyDescent="0.3">
      <c r="A1174" s="19">
        <v>386</v>
      </c>
      <c r="B1174" s="19" t="s">
        <v>2111</v>
      </c>
      <c r="C1174" s="19" t="s">
        <v>774</v>
      </c>
      <c r="D1174" s="19" t="s">
        <v>2023</v>
      </c>
      <c r="E1174" s="19" t="s">
        <v>784</v>
      </c>
      <c r="F1174" s="19">
        <v>3</v>
      </c>
      <c r="G1174" s="43">
        <v>418.53</v>
      </c>
    </row>
    <row r="1175" spans="1:7" x14ac:dyDescent="0.3">
      <c r="A1175" s="19">
        <v>726</v>
      </c>
      <c r="B1175" s="19" t="s">
        <v>2112</v>
      </c>
      <c r="C1175" s="19" t="s">
        <v>774</v>
      </c>
      <c r="D1175" s="19" t="s">
        <v>778</v>
      </c>
      <c r="E1175" s="19" t="s">
        <v>784</v>
      </c>
      <c r="F1175" s="19">
        <v>0</v>
      </c>
      <c r="G1175" s="43">
        <v>505.64</v>
      </c>
    </row>
    <row r="1176" spans="1:7" x14ac:dyDescent="0.3">
      <c r="A1176" s="19">
        <v>1929</v>
      </c>
      <c r="B1176" s="19" t="s">
        <v>2113</v>
      </c>
      <c r="C1176" s="19" t="s">
        <v>774</v>
      </c>
      <c r="D1176" s="19" t="s">
        <v>1911</v>
      </c>
      <c r="E1176" s="19" t="s">
        <v>784</v>
      </c>
      <c r="F1176" s="19">
        <v>0</v>
      </c>
      <c r="G1176" s="43">
        <v>91.51</v>
      </c>
    </row>
    <row r="1177" spans="1:7" x14ac:dyDescent="0.3">
      <c r="A1177" s="19">
        <v>512</v>
      </c>
      <c r="B1177" s="19" t="s">
        <v>2114</v>
      </c>
      <c r="C1177" s="19" t="s">
        <v>774</v>
      </c>
      <c r="D1177" s="19" t="s">
        <v>1911</v>
      </c>
      <c r="E1177" s="19" t="s">
        <v>784</v>
      </c>
      <c r="F1177" s="19">
        <v>4.4000000000000004</v>
      </c>
      <c r="G1177" s="43">
        <v>202.55</v>
      </c>
    </row>
    <row r="1178" spans="1:7" x14ac:dyDescent="0.3">
      <c r="A1178" s="19">
        <v>513</v>
      </c>
      <c r="B1178" s="19" t="s">
        <v>2115</v>
      </c>
      <c r="C1178" s="19" t="s">
        <v>774</v>
      </c>
      <c r="D1178" s="19" t="s">
        <v>1911</v>
      </c>
      <c r="E1178" s="19" t="s">
        <v>784</v>
      </c>
      <c r="F1178" s="19">
        <v>4.4000000000000004</v>
      </c>
      <c r="G1178" s="43">
        <v>130.11000000000001</v>
      </c>
    </row>
    <row r="1179" spans="1:7" x14ac:dyDescent="0.3">
      <c r="A1179" s="19">
        <v>514</v>
      </c>
      <c r="B1179" s="19" t="s">
        <v>2116</v>
      </c>
      <c r="C1179" s="19" t="s">
        <v>774</v>
      </c>
      <c r="D1179" s="19" t="s">
        <v>1911</v>
      </c>
      <c r="E1179" s="19" t="s">
        <v>784</v>
      </c>
      <c r="F1179" s="19">
        <v>4.4000000000000004</v>
      </c>
      <c r="G1179" s="43">
        <v>158.68</v>
      </c>
    </row>
    <row r="1180" spans="1:7" x14ac:dyDescent="0.3">
      <c r="A1180" s="19">
        <v>515</v>
      </c>
      <c r="B1180" s="19" t="s">
        <v>2117</v>
      </c>
      <c r="C1180" s="19" t="s">
        <v>774</v>
      </c>
      <c r="D1180" s="19" t="s">
        <v>1911</v>
      </c>
      <c r="E1180" s="19" t="s">
        <v>784</v>
      </c>
      <c r="F1180" s="19">
        <v>4.4000000000000004</v>
      </c>
      <c r="G1180" s="43">
        <v>149.77000000000001</v>
      </c>
    </row>
    <row r="1181" spans="1:7" x14ac:dyDescent="0.3">
      <c r="A1181" s="19">
        <v>771</v>
      </c>
      <c r="B1181" s="19" t="s">
        <v>2118</v>
      </c>
      <c r="C1181" s="19" t="s">
        <v>774</v>
      </c>
      <c r="D1181" s="19" t="s">
        <v>778</v>
      </c>
      <c r="E1181" s="19" t="s">
        <v>784</v>
      </c>
      <c r="F1181" s="19">
        <v>1</v>
      </c>
      <c r="G1181" s="43">
        <v>776.56</v>
      </c>
    </row>
    <row r="1182" spans="1:7" x14ac:dyDescent="0.3">
      <c r="A1182" s="19">
        <v>2343</v>
      </c>
      <c r="B1182" s="19" t="s">
        <v>2119</v>
      </c>
      <c r="C1182" s="19" t="s">
        <v>774</v>
      </c>
      <c r="D1182" s="19" t="s">
        <v>1911</v>
      </c>
      <c r="E1182" s="19" t="s">
        <v>784</v>
      </c>
      <c r="F1182" s="19">
        <v>4.4000000000000004</v>
      </c>
      <c r="G1182" s="43">
        <v>372.52</v>
      </c>
    </row>
    <row r="1183" spans="1:7" x14ac:dyDescent="0.3">
      <c r="A1183" s="19">
        <v>516</v>
      </c>
      <c r="B1183" s="19" t="s">
        <v>2120</v>
      </c>
      <c r="C1183" s="19" t="s">
        <v>774</v>
      </c>
      <c r="D1183" s="19" t="s">
        <v>1911</v>
      </c>
      <c r="E1183" s="19" t="s">
        <v>784</v>
      </c>
      <c r="F1183" s="19">
        <v>4.4000000000000004</v>
      </c>
      <c r="G1183" s="43">
        <v>122.9</v>
      </c>
    </row>
    <row r="1184" spans="1:7" x14ac:dyDescent="0.3">
      <c r="A1184" s="19">
        <v>3790</v>
      </c>
      <c r="B1184" s="19" t="s">
        <v>2121</v>
      </c>
      <c r="C1184" s="19" t="s">
        <v>899</v>
      </c>
      <c r="D1184" s="19" t="s">
        <v>939</v>
      </c>
      <c r="E1184" s="19" t="s">
        <v>2106</v>
      </c>
      <c r="F1184" s="19">
        <v>0</v>
      </c>
      <c r="G1184" s="43">
        <v>1.8</v>
      </c>
    </row>
    <row r="1185" spans="1:7" x14ac:dyDescent="0.3">
      <c r="A1185" s="19">
        <v>1814</v>
      </c>
      <c r="B1185" s="19" t="s">
        <v>2122</v>
      </c>
      <c r="C1185" s="19" t="s">
        <v>774</v>
      </c>
      <c r="D1185" s="19" t="s">
        <v>788</v>
      </c>
      <c r="E1185" s="19" t="s">
        <v>784</v>
      </c>
      <c r="F1185" s="19">
        <v>0</v>
      </c>
      <c r="G1185" s="43">
        <v>825</v>
      </c>
    </row>
    <row r="1186" spans="1:7" x14ac:dyDescent="0.3">
      <c r="A1186" s="19">
        <v>3384</v>
      </c>
      <c r="B1186" s="19" t="s">
        <v>2123</v>
      </c>
      <c r="C1186" s="19" t="s">
        <v>899</v>
      </c>
      <c r="D1186" s="19" t="s">
        <v>939</v>
      </c>
      <c r="E1186" s="19" t="s">
        <v>882</v>
      </c>
      <c r="F1186" s="19">
        <v>0</v>
      </c>
      <c r="G1186" s="43">
        <v>10.17</v>
      </c>
    </row>
    <row r="1187" spans="1:7" x14ac:dyDescent="0.3">
      <c r="A1187" s="19">
        <v>554</v>
      </c>
      <c r="B1187" s="19" t="s">
        <v>2124</v>
      </c>
      <c r="C1187" s="19" t="s">
        <v>774</v>
      </c>
      <c r="D1187" s="19" t="s">
        <v>786</v>
      </c>
      <c r="E1187" s="19" t="s">
        <v>784</v>
      </c>
      <c r="F1187" s="19">
        <v>0</v>
      </c>
      <c r="G1187" s="43">
        <v>959.95</v>
      </c>
    </row>
    <row r="1188" spans="1:7" x14ac:dyDescent="0.3">
      <c r="A1188" s="19">
        <v>2390</v>
      </c>
      <c r="B1188" s="19" t="s">
        <v>2125</v>
      </c>
      <c r="C1188" s="19" t="s">
        <v>781</v>
      </c>
      <c r="D1188" s="19" t="s">
        <v>775</v>
      </c>
      <c r="E1188" s="19" t="s">
        <v>784</v>
      </c>
      <c r="F1188" s="19">
        <v>0</v>
      </c>
      <c r="G1188" s="43">
        <v>0</v>
      </c>
    </row>
    <row r="1189" spans="1:7" x14ac:dyDescent="0.3">
      <c r="A1189" s="19">
        <v>2485</v>
      </c>
      <c r="B1189" s="19" t="s">
        <v>2126</v>
      </c>
      <c r="C1189" s="19" t="s">
        <v>807</v>
      </c>
      <c r="D1189" s="19" t="s">
        <v>2127</v>
      </c>
      <c r="E1189" s="19" t="s">
        <v>784</v>
      </c>
      <c r="F1189" s="19">
        <v>0</v>
      </c>
      <c r="G1189" s="43">
        <v>1200</v>
      </c>
    </row>
    <row r="1190" spans="1:7" x14ac:dyDescent="0.3">
      <c r="A1190" s="19">
        <v>1449</v>
      </c>
      <c r="B1190" s="19" t="s">
        <v>2128</v>
      </c>
      <c r="C1190" s="19" t="s">
        <v>774</v>
      </c>
      <c r="D1190" s="19" t="s">
        <v>2095</v>
      </c>
      <c r="E1190" s="19" t="s">
        <v>784</v>
      </c>
      <c r="F1190" s="19">
        <v>0</v>
      </c>
      <c r="G1190" s="43">
        <v>2554.27</v>
      </c>
    </row>
    <row r="1191" spans="1:7" x14ac:dyDescent="0.3">
      <c r="A1191" s="19">
        <v>365</v>
      </c>
      <c r="B1191" s="19" t="s">
        <v>2129</v>
      </c>
      <c r="C1191" s="19" t="s">
        <v>899</v>
      </c>
      <c r="D1191" s="19" t="s">
        <v>775</v>
      </c>
      <c r="E1191" s="19" t="s">
        <v>784</v>
      </c>
      <c r="F1191" s="19">
        <v>0</v>
      </c>
      <c r="G1191" s="43">
        <v>1916.16</v>
      </c>
    </row>
    <row r="1192" spans="1:7" x14ac:dyDescent="0.3">
      <c r="A1192" s="19">
        <v>3315</v>
      </c>
      <c r="B1192" s="19" t="s">
        <v>2130</v>
      </c>
      <c r="C1192" s="19" t="s">
        <v>774</v>
      </c>
      <c r="D1192" s="19" t="s">
        <v>854</v>
      </c>
      <c r="E1192" s="19" t="s">
        <v>784</v>
      </c>
      <c r="F1192" s="19">
        <v>0</v>
      </c>
      <c r="G1192" s="43">
        <v>0</v>
      </c>
    </row>
    <row r="1193" spans="1:7" x14ac:dyDescent="0.3">
      <c r="A1193" s="19">
        <v>2254</v>
      </c>
      <c r="B1193" s="19" t="s">
        <v>2131</v>
      </c>
      <c r="C1193" s="19" t="s">
        <v>774</v>
      </c>
      <c r="D1193" s="19" t="s">
        <v>775</v>
      </c>
      <c r="E1193" s="19" t="s">
        <v>784</v>
      </c>
      <c r="F1193" s="19">
        <v>0</v>
      </c>
      <c r="G1193" s="43">
        <v>946.79</v>
      </c>
    </row>
    <row r="1194" spans="1:7" x14ac:dyDescent="0.3">
      <c r="A1194" s="19">
        <v>93</v>
      </c>
      <c r="B1194" s="19" t="s">
        <v>2132</v>
      </c>
      <c r="C1194" s="19" t="s">
        <v>807</v>
      </c>
      <c r="D1194" s="19" t="s">
        <v>1847</v>
      </c>
      <c r="E1194" s="19" t="s">
        <v>784</v>
      </c>
      <c r="F1194" s="19">
        <v>0</v>
      </c>
      <c r="G1194" s="43">
        <v>840</v>
      </c>
    </row>
    <row r="1195" spans="1:7" x14ac:dyDescent="0.3">
      <c r="A1195" s="19">
        <v>1430</v>
      </c>
      <c r="B1195" s="19" t="s">
        <v>2133</v>
      </c>
      <c r="C1195" s="19" t="s">
        <v>774</v>
      </c>
      <c r="D1195" s="19" t="s">
        <v>2134</v>
      </c>
      <c r="E1195" s="19" t="s">
        <v>784</v>
      </c>
      <c r="F1195" s="19">
        <v>0</v>
      </c>
      <c r="G1195" s="43">
        <v>1012.34</v>
      </c>
    </row>
    <row r="1196" spans="1:7" x14ac:dyDescent="0.3">
      <c r="A1196" s="19">
        <v>63</v>
      </c>
      <c r="B1196" s="19" t="s">
        <v>2135</v>
      </c>
      <c r="C1196" s="19" t="s">
        <v>899</v>
      </c>
      <c r="D1196" s="19" t="s">
        <v>794</v>
      </c>
      <c r="E1196" s="19" t="s">
        <v>784</v>
      </c>
      <c r="F1196" s="19">
        <v>1</v>
      </c>
      <c r="G1196" s="43">
        <v>911.6</v>
      </c>
    </row>
    <row r="1197" spans="1:7" x14ac:dyDescent="0.3">
      <c r="A1197" s="19">
        <v>194</v>
      </c>
      <c r="B1197" s="19" t="s">
        <v>2136</v>
      </c>
      <c r="C1197" s="19" t="s">
        <v>774</v>
      </c>
      <c r="D1197" s="19" t="s">
        <v>1851</v>
      </c>
      <c r="E1197" s="19" t="s">
        <v>784</v>
      </c>
      <c r="F1197" s="19">
        <v>1</v>
      </c>
      <c r="G1197" s="43">
        <v>948.28</v>
      </c>
    </row>
    <row r="1198" spans="1:7" x14ac:dyDescent="0.3">
      <c r="A1198" s="19">
        <v>3986</v>
      </c>
      <c r="B1198" s="19" t="s">
        <v>2136</v>
      </c>
      <c r="C1198" s="19" t="s">
        <v>774</v>
      </c>
      <c r="D1198" s="19" t="s">
        <v>1851</v>
      </c>
      <c r="E1198" s="19" t="s">
        <v>784</v>
      </c>
      <c r="F1198" s="19">
        <v>1</v>
      </c>
      <c r="G1198" s="43">
        <v>1207.3</v>
      </c>
    </row>
    <row r="1199" spans="1:7" x14ac:dyDescent="0.3">
      <c r="A1199" s="19">
        <v>254</v>
      </c>
      <c r="B1199" s="19" t="s">
        <v>2137</v>
      </c>
      <c r="C1199" s="19" t="s">
        <v>774</v>
      </c>
      <c r="D1199" s="19" t="s">
        <v>778</v>
      </c>
      <c r="E1199" s="19" t="s">
        <v>784</v>
      </c>
      <c r="F1199" s="19">
        <v>0</v>
      </c>
      <c r="G1199" s="43">
        <v>992.31</v>
      </c>
    </row>
    <row r="1200" spans="1:7" x14ac:dyDescent="0.3">
      <c r="A1200" s="19">
        <v>1429</v>
      </c>
      <c r="B1200" s="19" t="s">
        <v>2138</v>
      </c>
      <c r="C1200" s="19" t="s">
        <v>774</v>
      </c>
      <c r="D1200" s="19" t="s">
        <v>2134</v>
      </c>
      <c r="E1200" s="19" t="s">
        <v>784</v>
      </c>
      <c r="F1200" s="19">
        <v>0</v>
      </c>
      <c r="G1200" s="43">
        <v>826.15</v>
      </c>
    </row>
    <row r="1201" spans="1:7" x14ac:dyDescent="0.3">
      <c r="A1201" s="19">
        <v>3746</v>
      </c>
      <c r="B1201" s="19" t="s">
        <v>2139</v>
      </c>
      <c r="C1201" s="19" t="s">
        <v>774</v>
      </c>
      <c r="D1201" s="19" t="s">
        <v>854</v>
      </c>
      <c r="E1201" s="19" t="s">
        <v>784</v>
      </c>
      <c r="F1201" s="19">
        <v>0</v>
      </c>
      <c r="G1201" s="43">
        <v>900</v>
      </c>
    </row>
    <row r="1202" spans="1:7" x14ac:dyDescent="0.3">
      <c r="A1202" s="19">
        <v>2931</v>
      </c>
      <c r="B1202" s="19" t="s">
        <v>2140</v>
      </c>
      <c r="C1202" s="19" t="s">
        <v>781</v>
      </c>
      <c r="D1202" s="19" t="s">
        <v>819</v>
      </c>
      <c r="E1202" s="19" t="s">
        <v>784</v>
      </c>
      <c r="F1202" s="19">
        <v>0</v>
      </c>
      <c r="G1202" s="43">
        <v>1.1299999999999999</v>
      </c>
    </row>
    <row r="1203" spans="1:7" x14ac:dyDescent="0.3">
      <c r="A1203" s="19">
        <v>2930</v>
      </c>
      <c r="B1203" s="19" t="s">
        <v>2141</v>
      </c>
      <c r="C1203" s="19" t="s">
        <v>781</v>
      </c>
      <c r="D1203" s="19" t="s">
        <v>819</v>
      </c>
      <c r="E1203" s="19" t="s">
        <v>784</v>
      </c>
      <c r="F1203" s="19">
        <v>0</v>
      </c>
      <c r="G1203" s="43">
        <v>1.1200000000000001</v>
      </c>
    </row>
    <row r="1204" spans="1:7" x14ac:dyDescent="0.3">
      <c r="A1204" s="19">
        <v>1432</v>
      </c>
      <c r="B1204" s="19" t="s">
        <v>2142</v>
      </c>
      <c r="C1204" s="19" t="s">
        <v>781</v>
      </c>
      <c r="D1204" s="19" t="s">
        <v>2143</v>
      </c>
      <c r="E1204" s="19" t="s">
        <v>784</v>
      </c>
      <c r="F1204" s="19">
        <v>0</v>
      </c>
      <c r="G1204" s="43">
        <v>1.85</v>
      </c>
    </row>
    <row r="1205" spans="1:7" x14ac:dyDescent="0.3">
      <c r="A1205" s="19">
        <v>2259</v>
      </c>
      <c r="B1205" s="19" t="s">
        <v>2144</v>
      </c>
      <c r="C1205" s="19" t="s">
        <v>774</v>
      </c>
      <c r="D1205" s="19" t="s">
        <v>775</v>
      </c>
      <c r="E1205" s="19" t="s">
        <v>784</v>
      </c>
      <c r="F1205" s="19">
        <v>0</v>
      </c>
      <c r="G1205" s="43">
        <v>932.64</v>
      </c>
    </row>
    <row r="1206" spans="1:7" x14ac:dyDescent="0.3">
      <c r="A1206" s="19">
        <v>1428</v>
      </c>
      <c r="B1206" s="19" t="s">
        <v>2145</v>
      </c>
      <c r="C1206" s="19" t="s">
        <v>774</v>
      </c>
      <c r="D1206" s="19" t="s">
        <v>2134</v>
      </c>
      <c r="E1206" s="19" t="s">
        <v>784</v>
      </c>
      <c r="F1206" s="19">
        <v>0</v>
      </c>
      <c r="G1206" s="43">
        <v>826.15</v>
      </c>
    </row>
    <row r="1207" spans="1:7" x14ac:dyDescent="0.3">
      <c r="A1207" s="19">
        <v>1448</v>
      </c>
      <c r="B1207" s="19" t="s">
        <v>2146</v>
      </c>
      <c r="C1207" s="19" t="s">
        <v>774</v>
      </c>
      <c r="D1207" s="19" t="s">
        <v>2095</v>
      </c>
      <c r="E1207" s="19" t="s">
        <v>784</v>
      </c>
      <c r="F1207" s="19">
        <v>0</v>
      </c>
      <c r="G1207" s="43">
        <v>2557.52</v>
      </c>
    </row>
    <row r="1208" spans="1:7" x14ac:dyDescent="0.3">
      <c r="A1208" s="19">
        <v>1611</v>
      </c>
      <c r="B1208" s="19" t="s">
        <v>2147</v>
      </c>
      <c r="C1208" s="19" t="s">
        <v>774</v>
      </c>
      <c r="D1208" s="19" t="s">
        <v>2148</v>
      </c>
      <c r="E1208" s="19" t="s">
        <v>784</v>
      </c>
      <c r="F1208" s="19">
        <v>0</v>
      </c>
      <c r="G1208" s="43">
        <v>1072.6400000000001</v>
      </c>
    </row>
    <row r="1209" spans="1:7" x14ac:dyDescent="0.3">
      <c r="A1209" s="19">
        <v>1427</v>
      </c>
      <c r="B1209" s="19" t="s">
        <v>2149</v>
      </c>
      <c r="C1209" s="19" t="s">
        <v>774</v>
      </c>
      <c r="D1209" s="19" t="s">
        <v>2148</v>
      </c>
      <c r="E1209" s="19" t="s">
        <v>784</v>
      </c>
      <c r="F1209" s="19">
        <v>0</v>
      </c>
      <c r="G1209" s="43">
        <v>826.15</v>
      </c>
    </row>
    <row r="1210" spans="1:7" x14ac:dyDescent="0.3">
      <c r="A1210" s="19">
        <v>1431</v>
      </c>
      <c r="B1210" s="19" t="s">
        <v>2150</v>
      </c>
      <c r="C1210" s="19" t="s">
        <v>781</v>
      </c>
      <c r="D1210" s="19" t="s">
        <v>2143</v>
      </c>
      <c r="E1210" s="19" t="s">
        <v>784</v>
      </c>
      <c r="F1210" s="19">
        <v>0</v>
      </c>
      <c r="G1210" s="43">
        <v>1.85</v>
      </c>
    </row>
    <row r="1211" spans="1:7" x14ac:dyDescent="0.3">
      <c r="A1211" s="19">
        <v>1433</v>
      </c>
      <c r="B1211" s="19" t="s">
        <v>2151</v>
      </c>
      <c r="C1211" s="19" t="s">
        <v>781</v>
      </c>
      <c r="D1211" s="19" t="s">
        <v>2143</v>
      </c>
      <c r="E1211" s="19" t="s">
        <v>784</v>
      </c>
      <c r="F1211" s="19">
        <v>0</v>
      </c>
      <c r="G1211" s="43">
        <v>1.86</v>
      </c>
    </row>
    <row r="1212" spans="1:7" x14ac:dyDescent="0.3">
      <c r="A1212" s="19">
        <v>3314</v>
      </c>
      <c r="B1212" s="19" t="s">
        <v>2152</v>
      </c>
      <c r="C1212" s="19" t="s">
        <v>774</v>
      </c>
      <c r="D1212" s="19" t="s">
        <v>778</v>
      </c>
      <c r="E1212" s="19" t="s">
        <v>784</v>
      </c>
      <c r="F1212" s="19">
        <v>0</v>
      </c>
      <c r="G1212" s="43">
        <v>1424.47</v>
      </c>
    </row>
    <row r="1213" spans="1:7" x14ac:dyDescent="0.3">
      <c r="A1213" s="19">
        <v>749</v>
      </c>
      <c r="B1213" s="19" t="s">
        <v>2153</v>
      </c>
      <c r="C1213" s="19" t="s">
        <v>774</v>
      </c>
      <c r="D1213" s="19" t="s">
        <v>786</v>
      </c>
      <c r="E1213" s="19" t="s">
        <v>784</v>
      </c>
      <c r="F1213" s="19">
        <v>0</v>
      </c>
      <c r="G1213" s="43">
        <v>924.12</v>
      </c>
    </row>
    <row r="1214" spans="1:7" x14ac:dyDescent="0.3">
      <c r="A1214" s="19">
        <v>2391</v>
      </c>
      <c r="B1214" s="19" t="s">
        <v>2154</v>
      </c>
      <c r="C1214" s="19" t="s">
        <v>774</v>
      </c>
      <c r="D1214" s="19" t="s">
        <v>775</v>
      </c>
      <c r="E1214" s="19" t="s">
        <v>784</v>
      </c>
      <c r="F1214" s="19">
        <v>0</v>
      </c>
      <c r="G1214" s="43">
        <v>1734.36</v>
      </c>
    </row>
    <row r="1215" spans="1:7" x14ac:dyDescent="0.3">
      <c r="A1215" s="19">
        <v>3785</v>
      </c>
      <c r="B1215" s="19" t="s">
        <v>2155</v>
      </c>
      <c r="C1215" s="19" t="s">
        <v>899</v>
      </c>
      <c r="D1215" s="19" t="s">
        <v>939</v>
      </c>
      <c r="E1215" s="19" t="s">
        <v>882</v>
      </c>
      <c r="F1215" s="19">
        <v>0</v>
      </c>
      <c r="G1215" s="43">
        <v>3.91</v>
      </c>
    </row>
    <row r="1216" spans="1:7" x14ac:dyDescent="0.3">
      <c r="A1216" s="19">
        <v>1362</v>
      </c>
      <c r="B1216" s="19" t="s">
        <v>2156</v>
      </c>
      <c r="C1216" s="19" t="s">
        <v>774</v>
      </c>
      <c r="D1216" s="19" t="s">
        <v>775</v>
      </c>
      <c r="E1216" s="19" t="s">
        <v>784</v>
      </c>
      <c r="F1216" s="19">
        <v>0</v>
      </c>
      <c r="G1216" s="43">
        <v>922</v>
      </c>
    </row>
    <row r="1217" spans="1:7" x14ac:dyDescent="0.3">
      <c r="A1217" s="19">
        <v>509</v>
      </c>
      <c r="B1217" s="19" t="s">
        <v>2157</v>
      </c>
      <c r="C1217" s="19" t="s">
        <v>774</v>
      </c>
      <c r="D1217" s="19" t="s">
        <v>1851</v>
      </c>
      <c r="E1217" s="19" t="s">
        <v>784</v>
      </c>
      <c r="F1217" s="19">
        <v>0</v>
      </c>
      <c r="G1217" s="43">
        <v>434.14</v>
      </c>
    </row>
    <row r="1218" spans="1:7" x14ac:dyDescent="0.3">
      <c r="A1218" s="19">
        <v>1434</v>
      </c>
      <c r="B1218" s="19" t="s">
        <v>2158</v>
      </c>
      <c r="C1218" s="19" t="s">
        <v>781</v>
      </c>
      <c r="D1218" s="19" t="s">
        <v>2143</v>
      </c>
      <c r="E1218" s="19" t="s">
        <v>784</v>
      </c>
      <c r="F1218" s="19">
        <v>0</v>
      </c>
      <c r="G1218" s="43">
        <v>1.82</v>
      </c>
    </row>
    <row r="1219" spans="1:7" x14ac:dyDescent="0.3">
      <c r="A1219" s="19">
        <v>1435</v>
      </c>
      <c r="B1219" s="19" t="s">
        <v>2159</v>
      </c>
      <c r="C1219" s="19" t="s">
        <v>781</v>
      </c>
      <c r="D1219" s="19" t="s">
        <v>2143</v>
      </c>
      <c r="E1219" s="19" t="s">
        <v>784</v>
      </c>
      <c r="F1219" s="19">
        <v>0</v>
      </c>
      <c r="G1219" s="43">
        <v>1.85</v>
      </c>
    </row>
    <row r="1220" spans="1:7" x14ac:dyDescent="0.3">
      <c r="A1220" s="19">
        <v>1436</v>
      </c>
      <c r="B1220" s="19" t="s">
        <v>2160</v>
      </c>
      <c r="C1220" s="19" t="s">
        <v>781</v>
      </c>
      <c r="D1220" s="19" t="s">
        <v>2143</v>
      </c>
      <c r="E1220" s="19" t="s">
        <v>784</v>
      </c>
      <c r="F1220" s="19">
        <v>0</v>
      </c>
      <c r="G1220" s="43">
        <v>1.86</v>
      </c>
    </row>
    <row r="1221" spans="1:7" x14ac:dyDescent="0.3">
      <c r="A1221" s="19">
        <v>1802</v>
      </c>
      <c r="B1221" s="19" t="s">
        <v>2161</v>
      </c>
      <c r="C1221" s="19" t="s">
        <v>774</v>
      </c>
      <c r="D1221" s="19" t="s">
        <v>2162</v>
      </c>
      <c r="E1221" s="19" t="s">
        <v>784</v>
      </c>
      <c r="F1221" s="19">
        <v>0</v>
      </c>
      <c r="G1221" s="43">
        <v>17891.48</v>
      </c>
    </row>
    <row r="1222" spans="1:7" x14ac:dyDescent="0.3">
      <c r="A1222" s="19">
        <v>2261</v>
      </c>
      <c r="B1222" s="19" t="s">
        <v>2163</v>
      </c>
      <c r="C1222" s="19" t="s">
        <v>774</v>
      </c>
      <c r="D1222" s="19" t="s">
        <v>778</v>
      </c>
      <c r="E1222" s="19" t="s">
        <v>784</v>
      </c>
      <c r="F1222" s="19">
        <v>0</v>
      </c>
      <c r="G1222" s="43">
        <v>1547.21</v>
      </c>
    </row>
    <row r="1223" spans="1:7" x14ac:dyDescent="0.3">
      <c r="A1223" s="19">
        <v>347</v>
      </c>
      <c r="B1223" s="19" t="s">
        <v>2164</v>
      </c>
      <c r="C1223" s="19" t="s">
        <v>774</v>
      </c>
      <c r="D1223" s="19" t="s">
        <v>778</v>
      </c>
      <c r="E1223" s="19" t="s">
        <v>784</v>
      </c>
      <c r="F1223" s="19">
        <v>0</v>
      </c>
      <c r="G1223" s="43">
        <v>2239.61</v>
      </c>
    </row>
    <row r="1224" spans="1:7" x14ac:dyDescent="0.3">
      <c r="A1224" s="19">
        <v>383</v>
      </c>
      <c r="B1224" s="19" t="s">
        <v>2165</v>
      </c>
      <c r="C1224" s="19" t="s">
        <v>899</v>
      </c>
      <c r="D1224" s="19" t="s">
        <v>1925</v>
      </c>
      <c r="E1224" s="19" t="s">
        <v>784</v>
      </c>
      <c r="F1224" s="19">
        <v>0</v>
      </c>
      <c r="G1224" s="43">
        <v>260.7</v>
      </c>
    </row>
    <row r="1225" spans="1:7" x14ac:dyDescent="0.3">
      <c r="A1225" s="19">
        <v>2074</v>
      </c>
      <c r="B1225" s="19" t="s">
        <v>2166</v>
      </c>
      <c r="C1225" s="19" t="s">
        <v>774</v>
      </c>
      <c r="D1225" s="19" t="s">
        <v>1911</v>
      </c>
      <c r="E1225" s="19" t="s">
        <v>784</v>
      </c>
      <c r="F1225" s="19">
        <v>0</v>
      </c>
      <c r="G1225" s="43">
        <v>272.25</v>
      </c>
    </row>
    <row r="1226" spans="1:7" x14ac:dyDescent="0.3">
      <c r="A1226" s="19">
        <v>520</v>
      </c>
      <c r="B1226" s="19" t="s">
        <v>2167</v>
      </c>
      <c r="C1226" s="19" t="s">
        <v>774</v>
      </c>
      <c r="D1226" s="19" t="s">
        <v>1911</v>
      </c>
      <c r="E1226" s="19" t="s">
        <v>784</v>
      </c>
      <c r="F1226" s="19">
        <v>4.4000000000000004</v>
      </c>
      <c r="G1226" s="43">
        <v>342.95</v>
      </c>
    </row>
    <row r="1227" spans="1:7" x14ac:dyDescent="0.3">
      <c r="A1227" s="19">
        <v>101</v>
      </c>
      <c r="B1227" s="19" t="s">
        <v>2168</v>
      </c>
      <c r="C1227" s="19" t="s">
        <v>774</v>
      </c>
      <c r="D1227" s="19" t="s">
        <v>2169</v>
      </c>
      <c r="E1227" s="19" t="s">
        <v>784</v>
      </c>
      <c r="F1227" s="19">
        <v>0</v>
      </c>
      <c r="G1227" s="43">
        <v>306.24</v>
      </c>
    </row>
    <row r="1228" spans="1:7" x14ac:dyDescent="0.3">
      <c r="A1228" s="19">
        <v>1797</v>
      </c>
      <c r="B1228" s="19" t="s">
        <v>2170</v>
      </c>
      <c r="C1228" s="19" t="s">
        <v>807</v>
      </c>
      <c r="D1228" s="19" t="s">
        <v>808</v>
      </c>
      <c r="E1228" s="19" t="s">
        <v>784</v>
      </c>
      <c r="F1228" s="19">
        <v>0</v>
      </c>
      <c r="G1228" s="43">
        <v>1000</v>
      </c>
    </row>
    <row r="1229" spans="1:7" x14ac:dyDescent="0.3">
      <c r="A1229" s="19">
        <v>399</v>
      </c>
      <c r="B1229" s="19" t="s">
        <v>2171</v>
      </c>
      <c r="C1229" s="19" t="s">
        <v>774</v>
      </c>
      <c r="D1229" s="19" t="s">
        <v>2023</v>
      </c>
      <c r="E1229" s="19" t="s">
        <v>784</v>
      </c>
      <c r="F1229" s="19">
        <v>3</v>
      </c>
      <c r="G1229" s="43">
        <v>1309.0899999999999</v>
      </c>
    </row>
    <row r="1230" spans="1:7" x14ac:dyDescent="0.3">
      <c r="A1230" s="19">
        <v>1883</v>
      </c>
      <c r="B1230" s="19" t="s">
        <v>2172</v>
      </c>
      <c r="C1230" s="19" t="s">
        <v>774</v>
      </c>
      <c r="D1230" s="19" t="s">
        <v>1911</v>
      </c>
      <c r="E1230" s="19" t="s">
        <v>784</v>
      </c>
      <c r="F1230" s="19">
        <v>0</v>
      </c>
      <c r="G1230" s="43">
        <v>143.80000000000001</v>
      </c>
    </row>
    <row r="1231" spans="1:7" x14ac:dyDescent="0.3">
      <c r="A1231" s="19">
        <v>2345</v>
      </c>
      <c r="B1231" s="19" t="s">
        <v>2173</v>
      </c>
      <c r="C1231" s="19" t="s">
        <v>774</v>
      </c>
      <c r="D1231" s="19" t="s">
        <v>1911</v>
      </c>
      <c r="E1231" s="19" t="s">
        <v>784</v>
      </c>
      <c r="F1231" s="19">
        <v>0</v>
      </c>
      <c r="G1231" s="43">
        <v>209.11</v>
      </c>
    </row>
    <row r="1232" spans="1:7" x14ac:dyDescent="0.3">
      <c r="A1232" s="19">
        <v>603</v>
      </c>
      <c r="B1232" s="19" t="s">
        <v>2174</v>
      </c>
      <c r="C1232" s="19" t="s">
        <v>774</v>
      </c>
      <c r="D1232" s="19" t="s">
        <v>1911</v>
      </c>
      <c r="E1232" s="19" t="s">
        <v>784</v>
      </c>
      <c r="F1232" s="19">
        <v>4.4000000000000004</v>
      </c>
      <c r="G1232" s="43">
        <v>142.63999999999999</v>
      </c>
    </row>
    <row r="1233" spans="1:7" x14ac:dyDescent="0.3">
      <c r="A1233" s="19">
        <v>1257</v>
      </c>
      <c r="B1233" s="19" t="s">
        <v>2175</v>
      </c>
      <c r="C1233" s="19" t="s">
        <v>774</v>
      </c>
      <c r="D1233" s="19" t="s">
        <v>2176</v>
      </c>
      <c r="E1233" s="19" t="s">
        <v>784</v>
      </c>
      <c r="F1233" s="19">
        <v>5</v>
      </c>
      <c r="G1233" s="43">
        <v>226.12</v>
      </c>
    </row>
    <row r="1234" spans="1:7" x14ac:dyDescent="0.3">
      <c r="A1234" s="19">
        <v>2348</v>
      </c>
      <c r="B1234" s="19" t="s">
        <v>2177</v>
      </c>
      <c r="C1234" s="19" t="s">
        <v>774</v>
      </c>
      <c r="D1234" s="19" t="s">
        <v>1911</v>
      </c>
      <c r="E1234" s="19" t="s">
        <v>784</v>
      </c>
      <c r="F1234" s="19">
        <v>0</v>
      </c>
      <c r="G1234" s="43">
        <v>1189.46</v>
      </c>
    </row>
    <row r="1235" spans="1:7" x14ac:dyDescent="0.3">
      <c r="A1235" s="19">
        <v>100</v>
      </c>
      <c r="B1235" s="19" t="s">
        <v>2178</v>
      </c>
      <c r="C1235" s="19" t="s">
        <v>774</v>
      </c>
      <c r="D1235" s="19" t="s">
        <v>1911</v>
      </c>
      <c r="E1235" s="19" t="s">
        <v>784</v>
      </c>
      <c r="F1235" s="19">
        <v>4.4000000000000004</v>
      </c>
      <c r="G1235" s="43">
        <v>129.71</v>
      </c>
    </row>
    <row r="1236" spans="1:7" x14ac:dyDescent="0.3">
      <c r="A1236" s="19">
        <v>3793</v>
      </c>
      <c r="B1236" s="19" t="s">
        <v>2179</v>
      </c>
      <c r="C1236" s="19" t="s">
        <v>899</v>
      </c>
      <c r="D1236" s="19" t="s">
        <v>939</v>
      </c>
      <c r="E1236" s="19" t="s">
        <v>882</v>
      </c>
      <c r="F1236" s="19">
        <v>0</v>
      </c>
      <c r="G1236" s="43">
        <v>1.85</v>
      </c>
    </row>
    <row r="1237" spans="1:7" x14ac:dyDescent="0.3">
      <c r="A1237" s="19">
        <v>2781</v>
      </c>
      <c r="B1237" s="19" t="s">
        <v>2180</v>
      </c>
      <c r="C1237" s="19" t="s">
        <v>807</v>
      </c>
      <c r="D1237" s="19" t="s">
        <v>808</v>
      </c>
      <c r="E1237" s="19" t="s">
        <v>784</v>
      </c>
      <c r="F1237" s="19">
        <v>0</v>
      </c>
      <c r="G1237" s="43">
        <v>3000</v>
      </c>
    </row>
    <row r="1238" spans="1:7" x14ac:dyDescent="0.3">
      <c r="A1238" s="19">
        <v>236</v>
      </c>
      <c r="B1238" s="19" t="s">
        <v>2181</v>
      </c>
      <c r="C1238" s="19" t="s">
        <v>774</v>
      </c>
      <c r="D1238" s="19" t="s">
        <v>778</v>
      </c>
      <c r="E1238" s="19" t="s">
        <v>784</v>
      </c>
      <c r="F1238" s="19">
        <v>0</v>
      </c>
      <c r="G1238" s="43">
        <v>10</v>
      </c>
    </row>
    <row r="1239" spans="1:7" x14ac:dyDescent="0.3">
      <c r="A1239" s="19">
        <v>991</v>
      </c>
      <c r="B1239" s="19" t="s">
        <v>2182</v>
      </c>
      <c r="C1239" s="19" t="s">
        <v>807</v>
      </c>
      <c r="D1239" s="19" t="s">
        <v>2183</v>
      </c>
      <c r="E1239" s="19" t="s">
        <v>784</v>
      </c>
      <c r="F1239" s="19">
        <v>1</v>
      </c>
      <c r="G1239" s="43">
        <v>1004.18</v>
      </c>
    </row>
    <row r="1240" spans="1:7" x14ac:dyDescent="0.3">
      <c r="A1240" s="19">
        <v>2267</v>
      </c>
      <c r="B1240" s="19" t="s">
        <v>2184</v>
      </c>
      <c r="C1240" s="19" t="s">
        <v>774</v>
      </c>
      <c r="D1240" s="19" t="s">
        <v>2162</v>
      </c>
      <c r="E1240" s="19" t="s">
        <v>784</v>
      </c>
      <c r="F1240" s="19">
        <v>0</v>
      </c>
      <c r="G1240" s="43">
        <v>5671.62</v>
      </c>
    </row>
    <row r="1241" spans="1:7" x14ac:dyDescent="0.3">
      <c r="A1241" s="19">
        <v>3316</v>
      </c>
      <c r="B1241" s="19" t="s">
        <v>2185</v>
      </c>
      <c r="C1241" s="19" t="s">
        <v>774</v>
      </c>
      <c r="D1241" s="19" t="s">
        <v>775</v>
      </c>
      <c r="E1241" s="19" t="s">
        <v>784</v>
      </c>
      <c r="F1241" s="19">
        <v>0</v>
      </c>
      <c r="G1241" s="43">
        <v>5671.62</v>
      </c>
    </row>
    <row r="1242" spans="1:7" x14ac:dyDescent="0.3">
      <c r="A1242" s="19">
        <v>309</v>
      </c>
      <c r="B1242" s="19" t="s">
        <v>2186</v>
      </c>
      <c r="C1242" s="19" t="s">
        <v>807</v>
      </c>
      <c r="D1242" s="19" t="s">
        <v>808</v>
      </c>
      <c r="E1242" s="19" t="s">
        <v>784</v>
      </c>
      <c r="F1242" s="19">
        <v>0</v>
      </c>
      <c r="G1242" s="43">
        <v>4166</v>
      </c>
    </row>
    <row r="1243" spans="1:7" x14ac:dyDescent="0.3">
      <c r="A1243" s="19">
        <v>1144</v>
      </c>
      <c r="B1243" s="19" t="s">
        <v>2187</v>
      </c>
      <c r="C1243" s="19" t="s">
        <v>774</v>
      </c>
      <c r="D1243" s="19" t="s">
        <v>775</v>
      </c>
      <c r="E1243" s="19" t="s">
        <v>784</v>
      </c>
      <c r="F1243" s="19">
        <v>0</v>
      </c>
      <c r="G1243" s="43">
        <v>1857</v>
      </c>
    </row>
    <row r="1244" spans="1:7" x14ac:dyDescent="0.3">
      <c r="A1244" s="19">
        <v>2353</v>
      </c>
      <c r="B1244" s="19" t="s">
        <v>2188</v>
      </c>
      <c r="C1244" s="19" t="s">
        <v>774</v>
      </c>
      <c r="D1244" s="19" t="s">
        <v>786</v>
      </c>
      <c r="E1244" s="19" t="s">
        <v>784</v>
      </c>
      <c r="F1244" s="19">
        <v>0</v>
      </c>
      <c r="G1244" s="43">
        <v>0</v>
      </c>
    </row>
    <row r="1245" spans="1:7" x14ac:dyDescent="0.3">
      <c r="A1245" s="19">
        <v>2091</v>
      </c>
      <c r="B1245" s="19" t="s">
        <v>2189</v>
      </c>
      <c r="C1245" s="19" t="s">
        <v>774</v>
      </c>
      <c r="D1245" s="19" t="s">
        <v>775</v>
      </c>
      <c r="E1245" s="19" t="s">
        <v>784</v>
      </c>
      <c r="F1245" s="19">
        <v>0</v>
      </c>
      <c r="G1245" s="43">
        <v>9274</v>
      </c>
    </row>
    <row r="1246" spans="1:7" x14ac:dyDescent="0.3">
      <c r="A1246" s="19">
        <v>1447</v>
      </c>
      <c r="B1246" s="19" t="s">
        <v>2190</v>
      </c>
      <c r="C1246" s="19" t="s">
        <v>774</v>
      </c>
      <c r="D1246" s="19" t="s">
        <v>2002</v>
      </c>
      <c r="E1246" s="19" t="s">
        <v>784</v>
      </c>
      <c r="F1246" s="19">
        <v>0</v>
      </c>
      <c r="G1246" s="43">
        <v>3951.98</v>
      </c>
    </row>
    <row r="1247" spans="1:7" x14ac:dyDescent="0.3">
      <c r="A1247" s="19">
        <v>1922</v>
      </c>
      <c r="B1247" s="19" t="s">
        <v>2191</v>
      </c>
      <c r="C1247" s="19" t="s">
        <v>774</v>
      </c>
      <c r="D1247" s="19" t="s">
        <v>1911</v>
      </c>
      <c r="E1247" s="19" t="s">
        <v>784</v>
      </c>
      <c r="F1247" s="19">
        <v>4.4000000000000004</v>
      </c>
      <c r="G1247" s="43">
        <v>583.46</v>
      </c>
    </row>
    <row r="1248" spans="1:7" x14ac:dyDescent="0.3">
      <c r="A1248" s="19">
        <v>3108</v>
      </c>
      <c r="B1248" s="19" t="s">
        <v>2192</v>
      </c>
      <c r="C1248" s="19" t="s">
        <v>774</v>
      </c>
      <c r="D1248" s="19" t="s">
        <v>1911</v>
      </c>
      <c r="E1248" s="19" t="s">
        <v>784</v>
      </c>
      <c r="F1248" s="19">
        <v>4.4000000000000004</v>
      </c>
      <c r="G1248" s="43">
        <v>313.7</v>
      </c>
    </row>
    <row r="1249" spans="1:7" x14ac:dyDescent="0.3">
      <c r="A1249" s="19">
        <v>1885</v>
      </c>
      <c r="B1249" s="19" t="s">
        <v>2193</v>
      </c>
      <c r="C1249" s="19" t="s">
        <v>774</v>
      </c>
      <c r="D1249" s="19" t="s">
        <v>1911</v>
      </c>
      <c r="E1249" s="19" t="s">
        <v>784</v>
      </c>
      <c r="F1249" s="19">
        <v>0</v>
      </c>
      <c r="G1249" s="43">
        <v>575.14</v>
      </c>
    </row>
    <row r="1250" spans="1:7" x14ac:dyDescent="0.3">
      <c r="A1250" s="19">
        <v>2350</v>
      </c>
      <c r="B1250" s="19" t="s">
        <v>2194</v>
      </c>
      <c r="C1250" s="19" t="s">
        <v>774</v>
      </c>
      <c r="D1250" s="19" t="s">
        <v>1911</v>
      </c>
      <c r="E1250" s="19" t="s">
        <v>784</v>
      </c>
      <c r="F1250" s="19">
        <v>0</v>
      </c>
      <c r="G1250" s="43">
        <v>575.14</v>
      </c>
    </row>
    <row r="1251" spans="1:7" x14ac:dyDescent="0.3">
      <c r="A1251" s="19">
        <v>102</v>
      </c>
      <c r="B1251" s="19" t="s">
        <v>2195</v>
      </c>
      <c r="C1251" s="19" t="s">
        <v>774</v>
      </c>
      <c r="D1251" s="19" t="s">
        <v>1911</v>
      </c>
      <c r="E1251" s="19" t="s">
        <v>784</v>
      </c>
      <c r="F1251" s="19">
        <v>4.4000000000000004</v>
      </c>
      <c r="G1251" s="43">
        <v>415.32</v>
      </c>
    </row>
    <row r="1252" spans="1:7" x14ac:dyDescent="0.3">
      <c r="A1252" s="19">
        <v>1295</v>
      </c>
      <c r="B1252" s="19" t="s">
        <v>2196</v>
      </c>
      <c r="C1252" s="19" t="s">
        <v>774</v>
      </c>
      <c r="D1252" s="19" t="s">
        <v>1911</v>
      </c>
      <c r="E1252" s="19" t="s">
        <v>784</v>
      </c>
      <c r="F1252" s="19">
        <v>0</v>
      </c>
      <c r="G1252" s="43">
        <v>442.44</v>
      </c>
    </row>
    <row r="1253" spans="1:7" x14ac:dyDescent="0.3">
      <c r="A1253" s="19">
        <v>491</v>
      </c>
      <c r="B1253" s="19" t="s">
        <v>2197</v>
      </c>
      <c r="C1253" s="19" t="s">
        <v>807</v>
      </c>
      <c r="D1253" s="19" t="s">
        <v>1554</v>
      </c>
      <c r="E1253" s="19" t="s">
        <v>784</v>
      </c>
      <c r="F1253" s="19">
        <v>0</v>
      </c>
      <c r="G1253" s="43">
        <v>427.03</v>
      </c>
    </row>
    <row r="1254" spans="1:7" x14ac:dyDescent="0.3">
      <c r="A1254" s="19">
        <v>95</v>
      </c>
      <c r="B1254" s="19" t="s">
        <v>2198</v>
      </c>
      <c r="C1254" s="19" t="s">
        <v>807</v>
      </c>
      <c r="D1254" s="19" t="s">
        <v>808</v>
      </c>
      <c r="E1254" s="19" t="s">
        <v>784</v>
      </c>
      <c r="F1254" s="19">
        <v>0</v>
      </c>
      <c r="G1254" s="43">
        <v>500</v>
      </c>
    </row>
    <row r="1255" spans="1:7" x14ac:dyDescent="0.3">
      <c r="A1255" s="19">
        <v>314</v>
      </c>
      <c r="B1255" s="19" t="s">
        <v>2199</v>
      </c>
      <c r="C1255" s="19" t="s">
        <v>807</v>
      </c>
      <c r="D1255" s="19" t="s">
        <v>808</v>
      </c>
      <c r="E1255" s="19" t="s">
        <v>784</v>
      </c>
      <c r="F1255" s="19">
        <v>0</v>
      </c>
      <c r="G1255" s="43">
        <v>600</v>
      </c>
    </row>
    <row r="1256" spans="1:7" x14ac:dyDescent="0.3">
      <c r="A1256" s="19">
        <v>754</v>
      </c>
      <c r="B1256" s="19" t="s">
        <v>2200</v>
      </c>
      <c r="C1256" s="19" t="s">
        <v>774</v>
      </c>
      <c r="D1256" s="19" t="s">
        <v>778</v>
      </c>
      <c r="E1256" s="19" t="s">
        <v>784</v>
      </c>
      <c r="F1256" s="19">
        <v>0</v>
      </c>
      <c r="G1256" s="43">
        <v>638.22</v>
      </c>
    </row>
    <row r="1257" spans="1:7" x14ac:dyDescent="0.3">
      <c r="A1257" s="19">
        <v>772</v>
      </c>
      <c r="B1257" s="19" t="s">
        <v>2201</v>
      </c>
      <c r="C1257" s="19" t="s">
        <v>774</v>
      </c>
      <c r="D1257" s="19" t="s">
        <v>778</v>
      </c>
      <c r="E1257" s="19" t="s">
        <v>784</v>
      </c>
      <c r="F1257" s="19">
        <v>1</v>
      </c>
      <c r="G1257" s="43">
        <v>1626.67</v>
      </c>
    </row>
    <row r="1258" spans="1:7" x14ac:dyDescent="0.3">
      <c r="A1258" s="19">
        <v>1296</v>
      </c>
      <c r="B1258" s="19" t="s">
        <v>2202</v>
      </c>
      <c r="C1258" s="19" t="s">
        <v>774</v>
      </c>
      <c r="D1258" s="19" t="s">
        <v>1554</v>
      </c>
      <c r="E1258" s="19" t="s">
        <v>784</v>
      </c>
      <c r="F1258" s="19">
        <v>1</v>
      </c>
      <c r="G1258" s="43">
        <v>570</v>
      </c>
    </row>
    <row r="1259" spans="1:7" x14ac:dyDescent="0.3">
      <c r="A1259" s="19">
        <v>1845</v>
      </c>
      <c r="B1259" s="19" t="s">
        <v>2203</v>
      </c>
      <c r="C1259" s="19" t="s">
        <v>774</v>
      </c>
      <c r="D1259" s="19" t="s">
        <v>778</v>
      </c>
      <c r="E1259" s="19" t="s">
        <v>784</v>
      </c>
      <c r="F1259" s="19">
        <v>0.45300000000000001</v>
      </c>
      <c r="G1259" s="43">
        <v>1618.85</v>
      </c>
    </row>
    <row r="1260" spans="1:7" x14ac:dyDescent="0.3">
      <c r="A1260" s="19">
        <v>197</v>
      </c>
      <c r="B1260" s="19" t="s">
        <v>2204</v>
      </c>
      <c r="C1260" s="19" t="s">
        <v>774</v>
      </c>
      <c r="D1260" s="19" t="s">
        <v>794</v>
      </c>
      <c r="E1260" s="19" t="s">
        <v>784</v>
      </c>
      <c r="F1260" s="19">
        <v>1</v>
      </c>
      <c r="G1260" s="43">
        <v>1390.5</v>
      </c>
    </row>
    <row r="1261" spans="1:7" x14ac:dyDescent="0.3">
      <c r="A1261" s="19">
        <v>290</v>
      </c>
      <c r="B1261" s="19" t="s">
        <v>2205</v>
      </c>
      <c r="C1261" s="19" t="s">
        <v>774</v>
      </c>
      <c r="D1261" s="19" t="s">
        <v>778</v>
      </c>
      <c r="E1261" s="19" t="s">
        <v>784</v>
      </c>
      <c r="F1261" s="19">
        <v>1</v>
      </c>
      <c r="G1261" s="43">
        <v>1392.56</v>
      </c>
    </row>
    <row r="1262" spans="1:7" x14ac:dyDescent="0.3">
      <c r="A1262" s="19">
        <v>2520</v>
      </c>
      <c r="B1262" s="19" t="s">
        <v>2206</v>
      </c>
      <c r="C1262" s="19" t="s">
        <v>774</v>
      </c>
      <c r="D1262" s="19" t="s">
        <v>778</v>
      </c>
      <c r="E1262" s="19" t="s">
        <v>784</v>
      </c>
      <c r="F1262" s="19">
        <v>0</v>
      </c>
      <c r="G1262" s="43">
        <v>1279.31</v>
      </c>
    </row>
    <row r="1263" spans="1:7" x14ac:dyDescent="0.3">
      <c r="A1263" s="19">
        <v>1392</v>
      </c>
      <c r="B1263" s="19" t="s">
        <v>2207</v>
      </c>
      <c r="C1263" s="19" t="s">
        <v>774</v>
      </c>
      <c r="D1263" s="19" t="s">
        <v>775</v>
      </c>
      <c r="E1263" s="19" t="s">
        <v>784</v>
      </c>
      <c r="F1263" s="19">
        <v>0.45300000000000001</v>
      </c>
      <c r="G1263" s="43">
        <v>4284.8599999999997</v>
      </c>
    </row>
    <row r="1264" spans="1:7" x14ac:dyDescent="0.3">
      <c r="A1264" s="19">
        <v>2690</v>
      </c>
      <c r="B1264" s="19" t="s">
        <v>2208</v>
      </c>
      <c r="C1264" s="19" t="s">
        <v>774</v>
      </c>
      <c r="D1264" s="19" t="s">
        <v>1911</v>
      </c>
      <c r="E1264" s="19" t="s">
        <v>784</v>
      </c>
      <c r="F1264" s="19">
        <v>0</v>
      </c>
      <c r="G1264" s="43">
        <v>444.42</v>
      </c>
    </row>
    <row r="1265" spans="1:7" x14ac:dyDescent="0.3">
      <c r="A1265" s="19">
        <v>2481</v>
      </c>
      <c r="B1265" s="19" t="s">
        <v>2209</v>
      </c>
      <c r="C1265" s="19" t="s">
        <v>774</v>
      </c>
      <c r="D1265" s="19" t="s">
        <v>778</v>
      </c>
      <c r="E1265" s="19" t="s">
        <v>784</v>
      </c>
      <c r="F1265" s="19">
        <v>0</v>
      </c>
      <c r="G1265" s="43">
        <v>3213.01</v>
      </c>
    </row>
    <row r="1266" spans="1:7" x14ac:dyDescent="0.3">
      <c r="A1266" s="19">
        <v>2372</v>
      </c>
      <c r="B1266" s="19" t="s">
        <v>2210</v>
      </c>
      <c r="C1266" s="19" t="s">
        <v>774</v>
      </c>
      <c r="D1266" s="19" t="s">
        <v>788</v>
      </c>
      <c r="E1266" s="19" t="s">
        <v>784</v>
      </c>
      <c r="F1266" s="19">
        <v>0</v>
      </c>
      <c r="G1266" s="43">
        <v>2768.04</v>
      </c>
    </row>
    <row r="1267" spans="1:7" x14ac:dyDescent="0.3">
      <c r="A1267" s="19">
        <v>1346</v>
      </c>
      <c r="B1267" s="19" t="s">
        <v>2211</v>
      </c>
      <c r="C1267" s="19" t="s">
        <v>774</v>
      </c>
      <c r="D1267" s="19" t="s">
        <v>775</v>
      </c>
      <c r="E1267" s="19" t="s">
        <v>784</v>
      </c>
      <c r="F1267" s="19">
        <v>0</v>
      </c>
      <c r="G1267" s="43">
        <v>2874</v>
      </c>
    </row>
    <row r="1268" spans="1:7" x14ac:dyDescent="0.3">
      <c r="A1268" s="19">
        <v>2376</v>
      </c>
      <c r="B1268" s="19" t="s">
        <v>2212</v>
      </c>
      <c r="C1268" s="19" t="s">
        <v>774</v>
      </c>
      <c r="D1268" s="19" t="s">
        <v>788</v>
      </c>
      <c r="E1268" s="19" t="s">
        <v>784</v>
      </c>
      <c r="F1268" s="19">
        <v>0</v>
      </c>
      <c r="G1268" s="43">
        <v>0</v>
      </c>
    </row>
    <row r="1269" spans="1:7" x14ac:dyDescent="0.3">
      <c r="A1269" s="19">
        <v>630</v>
      </c>
      <c r="B1269" s="19" t="s">
        <v>2213</v>
      </c>
      <c r="C1269" s="19" t="s">
        <v>774</v>
      </c>
      <c r="D1269" s="19" t="s">
        <v>786</v>
      </c>
      <c r="E1269" s="19" t="s">
        <v>784</v>
      </c>
      <c r="F1269" s="19">
        <v>1</v>
      </c>
      <c r="G1269" s="43">
        <v>694.21</v>
      </c>
    </row>
    <row r="1270" spans="1:7" x14ac:dyDescent="0.3">
      <c r="A1270" s="19">
        <v>627</v>
      </c>
      <c r="B1270" s="19" t="s">
        <v>2214</v>
      </c>
      <c r="C1270" s="19" t="s">
        <v>899</v>
      </c>
      <c r="D1270" s="19" t="s">
        <v>939</v>
      </c>
      <c r="E1270" s="19" t="s">
        <v>882</v>
      </c>
      <c r="F1270" s="19">
        <v>0</v>
      </c>
      <c r="G1270" s="43">
        <v>0.99</v>
      </c>
    </row>
    <row r="1271" spans="1:7" x14ac:dyDescent="0.3">
      <c r="A1271" s="19">
        <v>2926</v>
      </c>
      <c r="B1271" s="19" t="s">
        <v>2215</v>
      </c>
      <c r="C1271" s="19" t="s">
        <v>781</v>
      </c>
      <c r="D1271" s="19" t="s">
        <v>819</v>
      </c>
      <c r="E1271" s="19" t="s">
        <v>784</v>
      </c>
      <c r="F1271" s="19">
        <v>0</v>
      </c>
      <c r="G1271" s="43">
        <v>8.34</v>
      </c>
    </row>
    <row r="1272" spans="1:7" x14ac:dyDescent="0.3">
      <c r="A1272" s="19">
        <v>1801</v>
      </c>
      <c r="B1272" s="19" t="s">
        <v>2216</v>
      </c>
      <c r="C1272" s="19" t="s">
        <v>774</v>
      </c>
      <c r="D1272" s="19" t="s">
        <v>775</v>
      </c>
      <c r="E1272" s="19" t="s">
        <v>784</v>
      </c>
      <c r="F1272" s="19">
        <v>0</v>
      </c>
      <c r="G1272" s="43">
        <v>11644</v>
      </c>
    </row>
    <row r="1273" spans="1:7" x14ac:dyDescent="0.3">
      <c r="A1273" s="19">
        <v>2398</v>
      </c>
      <c r="B1273" s="19" t="s">
        <v>2217</v>
      </c>
      <c r="C1273" s="19" t="s">
        <v>807</v>
      </c>
      <c r="D1273" s="19" t="s">
        <v>808</v>
      </c>
      <c r="E1273" s="19" t="s">
        <v>784</v>
      </c>
      <c r="F1273" s="19">
        <v>0</v>
      </c>
      <c r="G1273" s="43">
        <v>2000</v>
      </c>
    </row>
    <row r="1274" spans="1:7" x14ac:dyDescent="0.3">
      <c r="A1274" s="19">
        <v>1458</v>
      </c>
      <c r="B1274" s="19" t="s">
        <v>2218</v>
      </c>
      <c r="C1274" s="19" t="s">
        <v>774</v>
      </c>
      <c r="D1274" s="19" t="s">
        <v>783</v>
      </c>
      <c r="E1274" s="19" t="s">
        <v>784</v>
      </c>
      <c r="F1274" s="19">
        <v>0</v>
      </c>
      <c r="G1274" s="43">
        <v>8922.73</v>
      </c>
    </row>
    <row r="1275" spans="1:7" x14ac:dyDescent="0.3">
      <c r="A1275" s="19">
        <v>1793</v>
      </c>
      <c r="B1275" s="19" t="s">
        <v>2219</v>
      </c>
      <c r="C1275" s="19" t="s">
        <v>774</v>
      </c>
      <c r="D1275" s="19" t="s">
        <v>778</v>
      </c>
      <c r="E1275" s="19" t="s">
        <v>784</v>
      </c>
      <c r="F1275" s="19">
        <v>0</v>
      </c>
      <c r="G1275" s="43">
        <v>5794</v>
      </c>
    </row>
    <row r="1276" spans="1:7" x14ac:dyDescent="0.3">
      <c r="A1276" s="19">
        <v>191</v>
      </c>
      <c r="B1276" s="19" t="s">
        <v>2220</v>
      </c>
      <c r="C1276" s="19" t="s">
        <v>774</v>
      </c>
      <c r="D1276" s="19" t="s">
        <v>778</v>
      </c>
      <c r="E1276" s="19" t="s">
        <v>784</v>
      </c>
      <c r="F1276" s="19">
        <v>0</v>
      </c>
      <c r="G1276" s="43">
        <v>6077.29</v>
      </c>
    </row>
    <row r="1277" spans="1:7" x14ac:dyDescent="0.3">
      <c r="A1277" s="19">
        <v>1846</v>
      </c>
      <c r="B1277" s="19" t="s">
        <v>2221</v>
      </c>
      <c r="C1277" s="19" t="s">
        <v>774</v>
      </c>
      <c r="D1277" s="19" t="s">
        <v>786</v>
      </c>
      <c r="E1277" s="19" t="s">
        <v>784</v>
      </c>
      <c r="F1277" s="19">
        <v>1</v>
      </c>
      <c r="G1277" s="43">
        <v>7091.11</v>
      </c>
    </row>
    <row r="1278" spans="1:7" x14ac:dyDescent="0.3">
      <c r="A1278" s="19">
        <v>752</v>
      </c>
      <c r="B1278" s="19" t="s">
        <v>2222</v>
      </c>
      <c r="C1278" s="19" t="s">
        <v>774</v>
      </c>
      <c r="D1278" s="19" t="s">
        <v>778</v>
      </c>
      <c r="E1278" s="19" t="s">
        <v>784</v>
      </c>
      <c r="F1278" s="19">
        <v>0</v>
      </c>
      <c r="G1278" s="43">
        <v>2511.27</v>
      </c>
    </row>
    <row r="1279" spans="1:7" x14ac:dyDescent="0.3">
      <c r="A1279" s="19">
        <v>2377</v>
      </c>
      <c r="B1279" s="19" t="s">
        <v>2223</v>
      </c>
      <c r="C1279" s="19" t="s">
        <v>774</v>
      </c>
      <c r="D1279" s="19" t="s">
        <v>788</v>
      </c>
      <c r="E1279" s="19" t="s">
        <v>784</v>
      </c>
      <c r="F1279" s="19">
        <v>0</v>
      </c>
      <c r="G1279" s="43">
        <v>0</v>
      </c>
    </row>
    <row r="1280" spans="1:7" x14ac:dyDescent="0.3">
      <c r="A1280" s="19">
        <v>1817</v>
      </c>
      <c r="B1280" s="19" t="s">
        <v>2224</v>
      </c>
      <c r="C1280" s="19" t="s">
        <v>774</v>
      </c>
      <c r="D1280" s="19" t="s">
        <v>788</v>
      </c>
      <c r="E1280" s="19" t="s">
        <v>784</v>
      </c>
      <c r="F1280" s="19">
        <v>0</v>
      </c>
      <c r="G1280" s="43">
        <v>0</v>
      </c>
    </row>
    <row r="1281" spans="1:7" x14ac:dyDescent="0.3">
      <c r="A1281" s="19">
        <v>604</v>
      </c>
      <c r="B1281" s="19" t="s">
        <v>2225</v>
      </c>
      <c r="C1281" s="19" t="s">
        <v>774</v>
      </c>
      <c r="D1281" s="19" t="s">
        <v>775</v>
      </c>
      <c r="E1281" s="19" t="s">
        <v>784</v>
      </c>
      <c r="F1281" s="19">
        <v>0</v>
      </c>
      <c r="G1281" s="43">
        <v>3553.5</v>
      </c>
    </row>
    <row r="1282" spans="1:7" x14ac:dyDescent="0.3">
      <c r="A1282" s="19">
        <v>1818</v>
      </c>
      <c r="B1282" s="19" t="s">
        <v>2226</v>
      </c>
      <c r="C1282" s="19" t="s">
        <v>774</v>
      </c>
      <c r="D1282" s="19" t="s">
        <v>788</v>
      </c>
      <c r="E1282" s="19" t="s">
        <v>784</v>
      </c>
      <c r="F1282" s="19">
        <v>0</v>
      </c>
      <c r="G1282" s="43">
        <v>0</v>
      </c>
    </row>
    <row r="1283" spans="1:7" x14ac:dyDescent="0.3">
      <c r="A1283" s="19">
        <v>718</v>
      </c>
      <c r="B1283" s="19" t="s">
        <v>2227</v>
      </c>
      <c r="C1283" s="19" t="s">
        <v>774</v>
      </c>
      <c r="D1283" s="19" t="s">
        <v>778</v>
      </c>
      <c r="E1283" s="19" t="s">
        <v>784</v>
      </c>
      <c r="F1283" s="19">
        <v>0</v>
      </c>
      <c r="G1283" s="43">
        <v>3050.87</v>
      </c>
    </row>
    <row r="1284" spans="1:7" x14ac:dyDescent="0.3">
      <c r="A1284" s="19">
        <v>362</v>
      </c>
      <c r="B1284" s="19" t="s">
        <v>2228</v>
      </c>
      <c r="C1284" s="19" t="s">
        <v>899</v>
      </c>
      <c r="D1284" s="19" t="s">
        <v>794</v>
      </c>
      <c r="E1284" s="19" t="s">
        <v>784</v>
      </c>
      <c r="F1284" s="19">
        <v>1</v>
      </c>
      <c r="G1284" s="43">
        <v>3553.5</v>
      </c>
    </row>
    <row r="1285" spans="1:7" x14ac:dyDescent="0.3">
      <c r="A1285" s="19">
        <v>753</v>
      </c>
      <c r="B1285" s="19" t="s">
        <v>2229</v>
      </c>
      <c r="C1285" s="19" t="s">
        <v>774</v>
      </c>
      <c r="D1285" s="19" t="s">
        <v>778</v>
      </c>
      <c r="E1285" s="19" t="s">
        <v>784</v>
      </c>
      <c r="F1285" s="19">
        <v>0</v>
      </c>
      <c r="G1285" s="43">
        <v>3068.84</v>
      </c>
    </row>
    <row r="1286" spans="1:7" x14ac:dyDescent="0.3">
      <c r="A1286" s="19">
        <v>3307</v>
      </c>
      <c r="B1286" s="19" t="s">
        <v>2230</v>
      </c>
      <c r="C1286" s="19" t="s">
        <v>774</v>
      </c>
      <c r="D1286" s="19" t="s">
        <v>775</v>
      </c>
      <c r="E1286" s="19" t="s">
        <v>784</v>
      </c>
      <c r="F1286" s="19">
        <v>0</v>
      </c>
      <c r="G1286" s="43">
        <v>3803.2</v>
      </c>
    </row>
    <row r="1287" spans="1:7" x14ac:dyDescent="0.3">
      <c r="A1287" s="19">
        <v>359</v>
      </c>
      <c r="B1287" s="19" t="s">
        <v>2231</v>
      </c>
      <c r="C1287" s="19" t="s">
        <v>899</v>
      </c>
      <c r="D1287" s="19" t="s">
        <v>775</v>
      </c>
      <c r="E1287" s="19" t="s">
        <v>784</v>
      </c>
      <c r="F1287" s="19">
        <v>0.45300000000000001</v>
      </c>
      <c r="G1287" s="43">
        <v>6122.92</v>
      </c>
    </row>
    <row r="1288" spans="1:7" x14ac:dyDescent="0.3">
      <c r="A1288" s="19">
        <v>2270</v>
      </c>
      <c r="B1288" s="19" t="s">
        <v>2232</v>
      </c>
      <c r="C1288" s="19" t="s">
        <v>774</v>
      </c>
      <c r="D1288" s="19" t="s">
        <v>775</v>
      </c>
      <c r="E1288" s="19" t="s">
        <v>784</v>
      </c>
      <c r="F1288" s="19">
        <v>0</v>
      </c>
      <c r="G1288" s="43">
        <v>3588.86</v>
      </c>
    </row>
    <row r="1289" spans="1:7" x14ac:dyDescent="0.3">
      <c r="A1289" s="19">
        <v>2522</v>
      </c>
      <c r="B1289" s="19" t="s">
        <v>2233</v>
      </c>
      <c r="C1289" s="19" t="s">
        <v>812</v>
      </c>
      <c r="D1289" s="19" t="s">
        <v>778</v>
      </c>
      <c r="E1289" s="19" t="s">
        <v>784</v>
      </c>
      <c r="F1289" s="19">
        <v>0</v>
      </c>
      <c r="G1289" s="43">
        <v>8242.0400000000009</v>
      </c>
    </row>
    <row r="1290" spans="1:7" x14ac:dyDescent="0.3">
      <c r="A1290" s="19">
        <v>1783</v>
      </c>
      <c r="B1290" s="19" t="s">
        <v>2234</v>
      </c>
      <c r="C1290" s="19" t="s">
        <v>774</v>
      </c>
      <c r="D1290" s="19" t="s">
        <v>778</v>
      </c>
      <c r="E1290" s="19" t="s">
        <v>784</v>
      </c>
      <c r="F1290" s="19">
        <v>0.113</v>
      </c>
      <c r="G1290" s="43">
        <v>32769.699999999997</v>
      </c>
    </row>
    <row r="1291" spans="1:7" x14ac:dyDescent="0.3">
      <c r="A1291" s="19">
        <v>1393</v>
      </c>
      <c r="B1291" s="19" t="s">
        <v>2235</v>
      </c>
      <c r="C1291" s="19" t="s">
        <v>774</v>
      </c>
      <c r="D1291" s="19" t="s">
        <v>2236</v>
      </c>
      <c r="E1291" s="19" t="s">
        <v>784</v>
      </c>
      <c r="F1291" s="19">
        <v>1</v>
      </c>
      <c r="G1291" s="43">
        <v>752.57</v>
      </c>
    </row>
    <row r="1292" spans="1:7" x14ac:dyDescent="0.3">
      <c r="A1292" s="19">
        <v>728</v>
      </c>
      <c r="B1292" s="19" t="s">
        <v>2237</v>
      </c>
      <c r="C1292" s="19" t="s">
        <v>774</v>
      </c>
      <c r="D1292" s="19" t="s">
        <v>778</v>
      </c>
      <c r="E1292" s="19" t="s">
        <v>784</v>
      </c>
      <c r="F1292" s="19">
        <v>0</v>
      </c>
      <c r="G1292" s="43">
        <v>1329.41</v>
      </c>
    </row>
    <row r="1293" spans="1:7" x14ac:dyDescent="0.3">
      <c r="A1293" s="19">
        <v>2274</v>
      </c>
      <c r="B1293" s="19" t="s">
        <v>2238</v>
      </c>
      <c r="C1293" s="19" t="s">
        <v>807</v>
      </c>
      <c r="D1293" s="19" t="s">
        <v>1922</v>
      </c>
      <c r="E1293" s="19" t="s">
        <v>784</v>
      </c>
      <c r="F1293" s="19">
        <v>0</v>
      </c>
      <c r="G1293" s="43">
        <v>1100</v>
      </c>
    </row>
    <row r="1294" spans="1:7" x14ac:dyDescent="0.3">
      <c r="A1294" s="19">
        <v>2066</v>
      </c>
      <c r="B1294" s="19" t="s">
        <v>2239</v>
      </c>
      <c r="C1294" s="19" t="s">
        <v>774</v>
      </c>
      <c r="D1294" s="19" t="s">
        <v>778</v>
      </c>
      <c r="E1294" s="19" t="s">
        <v>784</v>
      </c>
      <c r="F1294" s="19">
        <v>0</v>
      </c>
      <c r="G1294" s="43">
        <v>1386.26</v>
      </c>
    </row>
    <row r="1295" spans="1:7" x14ac:dyDescent="0.3">
      <c r="A1295" s="19">
        <v>1812</v>
      </c>
      <c r="B1295" s="19" t="s">
        <v>2240</v>
      </c>
      <c r="C1295" s="19" t="s">
        <v>774</v>
      </c>
      <c r="D1295" s="19" t="s">
        <v>775</v>
      </c>
      <c r="E1295" s="19" t="s">
        <v>784</v>
      </c>
      <c r="F1295" s="19">
        <v>0</v>
      </c>
      <c r="G1295" s="43">
        <v>2294.54</v>
      </c>
    </row>
    <row r="1296" spans="1:7" x14ac:dyDescent="0.3">
      <c r="A1296" s="19">
        <v>364</v>
      </c>
      <c r="B1296" s="19" t="s">
        <v>2241</v>
      </c>
      <c r="C1296" s="19" t="s">
        <v>899</v>
      </c>
      <c r="D1296" s="19" t="s">
        <v>775</v>
      </c>
      <c r="E1296" s="19" t="s">
        <v>784</v>
      </c>
      <c r="F1296" s="19">
        <v>2.5</v>
      </c>
      <c r="G1296" s="43">
        <v>1384.28</v>
      </c>
    </row>
    <row r="1297" spans="1:7" x14ac:dyDescent="0.3">
      <c r="A1297" s="19">
        <v>2521</v>
      </c>
      <c r="B1297" s="19" t="s">
        <v>2242</v>
      </c>
      <c r="C1297" s="19" t="s">
        <v>774</v>
      </c>
      <c r="D1297" s="19" t="s">
        <v>778</v>
      </c>
      <c r="E1297" s="19" t="s">
        <v>784</v>
      </c>
      <c r="F1297" s="19">
        <v>0</v>
      </c>
      <c r="G1297" s="43">
        <v>2429.39</v>
      </c>
    </row>
    <row r="1298" spans="1:7" x14ac:dyDescent="0.3">
      <c r="A1298" s="19">
        <v>282</v>
      </c>
      <c r="B1298" s="19" t="s">
        <v>2243</v>
      </c>
      <c r="C1298" s="19" t="s">
        <v>774</v>
      </c>
      <c r="D1298" s="19" t="s">
        <v>786</v>
      </c>
      <c r="E1298" s="19" t="s">
        <v>784</v>
      </c>
      <c r="F1298" s="19">
        <v>1</v>
      </c>
      <c r="G1298" s="43">
        <v>4178.7700000000004</v>
      </c>
    </row>
    <row r="1299" spans="1:7" x14ac:dyDescent="0.3">
      <c r="A1299" s="19">
        <v>245</v>
      </c>
      <c r="B1299" s="19" t="s">
        <v>2244</v>
      </c>
      <c r="C1299" s="19" t="s">
        <v>774</v>
      </c>
      <c r="D1299" s="19" t="s">
        <v>778</v>
      </c>
      <c r="E1299" s="19" t="s">
        <v>784</v>
      </c>
      <c r="F1299" s="19">
        <v>0.113</v>
      </c>
      <c r="G1299" s="43">
        <v>2519.9</v>
      </c>
    </row>
    <row r="1300" spans="1:7" x14ac:dyDescent="0.3">
      <c r="A1300" s="19">
        <v>244</v>
      </c>
      <c r="B1300" s="19" t="s">
        <v>2245</v>
      </c>
      <c r="C1300" s="19" t="s">
        <v>774</v>
      </c>
      <c r="D1300" s="19" t="s">
        <v>778</v>
      </c>
      <c r="E1300" s="19" t="s">
        <v>784</v>
      </c>
      <c r="F1300" s="19">
        <v>0</v>
      </c>
      <c r="G1300" s="43">
        <v>4624.8500000000004</v>
      </c>
    </row>
    <row r="1301" spans="1:7" x14ac:dyDescent="0.3">
      <c r="A1301" s="19">
        <v>719</v>
      </c>
      <c r="B1301" s="19" t="s">
        <v>2246</v>
      </c>
      <c r="C1301" s="19" t="s">
        <v>774</v>
      </c>
      <c r="D1301" s="19" t="s">
        <v>778</v>
      </c>
      <c r="E1301" s="19" t="s">
        <v>784</v>
      </c>
      <c r="F1301" s="19">
        <v>0</v>
      </c>
      <c r="G1301" s="43">
        <v>2750.06</v>
      </c>
    </row>
    <row r="1302" spans="1:7" x14ac:dyDescent="0.3">
      <c r="A1302" s="19">
        <v>184</v>
      </c>
      <c r="B1302" s="19" t="s">
        <v>2247</v>
      </c>
      <c r="C1302" s="19" t="s">
        <v>774</v>
      </c>
      <c r="D1302" s="19" t="s">
        <v>778</v>
      </c>
      <c r="E1302" s="19" t="s">
        <v>784</v>
      </c>
      <c r="F1302" s="19">
        <v>0</v>
      </c>
      <c r="G1302" s="43">
        <v>5626.62</v>
      </c>
    </row>
    <row r="1303" spans="1:7" x14ac:dyDescent="0.3">
      <c r="A1303" s="19">
        <v>1258</v>
      </c>
      <c r="B1303" s="19" t="s">
        <v>2248</v>
      </c>
      <c r="C1303" s="19" t="s">
        <v>774</v>
      </c>
      <c r="D1303" s="19" t="s">
        <v>783</v>
      </c>
      <c r="E1303" s="19" t="s">
        <v>784</v>
      </c>
      <c r="F1303" s="19">
        <v>0</v>
      </c>
      <c r="G1303" s="43">
        <v>3010.18</v>
      </c>
    </row>
    <row r="1304" spans="1:7" x14ac:dyDescent="0.3">
      <c r="A1304" s="19">
        <v>1438</v>
      </c>
      <c r="B1304" s="19" t="s">
        <v>2249</v>
      </c>
      <c r="C1304" s="19" t="s">
        <v>781</v>
      </c>
      <c r="D1304" s="19" t="s">
        <v>2143</v>
      </c>
      <c r="E1304" s="19" t="s">
        <v>784</v>
      </c>
      <c r="F1304" s="19">
        <v>0</v>
      </c>
      <c r="G1304" s="43">
        <v>4.5999999999999996</v>
      </c>
    </row>
    <row r="1305" spans="1:7" x14ac:dyDescent="0.3">
      <c r="A1305" s="19">
        <v>1347</v>
      </c>
      <c r="B1305" s="19" t="s">
        <v>2250</v>
      </c>
      <c r="C1305" s="19" t="s">
        <v>774</v>
      </c>
      <c r="D1305" s="19" t="s">
        <v>775</v>
      </c>
      <c r="E1305" s="19" t="s">
        <v>784</v>
      </c>
      <c r="F1305" s="19">
        <v>0</v>
      </c>
      <c r="G1305" s="43">
        <v>1547</v>
      </c>
    </row>
    <row r="1306" spans="1:7" x14ac:dyDescent="0.3">
      <c r="A1306" s="19">
        <v>301</v>
      </c>
      <c r="B1306" s="19" t="s">
        <v>2251</v>
      </c>
      <c r="C1306" s="19" t="s">
        <v>774</v>
      </c>
      <c r="D1306" s="19" t="s">
        <v>778</v>
      </c>
      <c r="E1306" s="19" t="s">
        <v>784</v>
      </c>
      <c r="F1306" s="19">
        <v>0</v>
      </c>
      <c r="G1306" s="43">
        <v>220.68</v>
      </c>
    </row>
    <row r="1307" spans="1:7" x14ac:dyDescent="0.3">
      <c r="A1307" s="19">
        <v>1400</v>
      </c>
      <c r="B1307" s="19" t="s">
        <v>2252</v>
      </c>
      <c r="C1307" s="19" t="s">
        <v>774</v>
      </c>
      <c r="D1307" s="19" t="s">
        <v>775</v>
      </c>
      <c r="E1307" s="19" t="s">
        <v>784</v>
      </c>
      <c r="F1307" s="19">
        <v>0</v>
      </c>
      <c r="G1307" s="43">
        <v>1430</v>
      </c>
    </row>
    <row r="1308" spans="1:7" x14ac:dyDescent="0.3">
      <c r="A1308" s="19">
        <v>371</v>
      </c>
      <c r="B1308" s="19" t="s">
        <v>2253</v>
      </c>
      <c r="C1308" s="19" t="s">
        <v>899</v>
      </c>
      <c r="D1308" s="19" t="s">
        <v>775</v>
      </c>
      <c r="E1308" s="19" t="s">
        <v>784</v>
      </c>
      <c r="F1308" s="19">
        <v>0</v>
      </c>
      <c r="G1308" s="43">
        <v>1430</v>
      </c>
    </row>
    <row r="1309" spans="1:7" x14ac:dyDescent="0.3">
      <c r="A1309" s="19">
        <v>207</v>
      </c>
      <c r="B1309" s="19" t="s">
        <v>2254</v>
      </c>
      <c r="C1309" s="19" t="s">
        <v>774</v>
      </c>
      <c r="D1309" s="19" t="s">
        <v>775</v>
      </c>
      <c r="E1309" s="19" t="s">
        <v>784</v>
      </c>
      <c r="F1309" s="19">
        <v>0</v>
      </c>
      <c r="G1309" s="43">
        <v>1332.16</v>
      </c>
    </row>
    <row r="1310" spans="1:7" x14ac:dyDescent="0.3">
      <c r="A1310" s="19">
        <v>940</v>
      </c>
      <c r="B1310" s="19" t="s">
        <v>2255</v>
      </c>
      <c r="C1310" s="19" t="s">
        <v>774</v>
      </c>
      <c r="D1310" s="19" t="s">
        <v>775</v>
      </c>
      <c r="E1310" s="19" t="s">
        <v>784</v>
      </c>
      <c r="F1310" s="19">
        <v>0</v>
      </c>
      <c r="G1310" s="43">
        <v>937</v>
      </c>
    </row>
    <row r="1311" spans="1:7" x14ac:dyDescent="0.3">
      <c r="A1311" s="19">
        <v>1406</v>
      </c>
      <c r="B1311" s="19" t="s">
        <v>2256</v>
      </c>
      <c r="C1311" s="19" t="s">
        <v>774</v>
      </c>
      <c r="D1311" s="19" t="s">
        <v>786</v>
      </c>
      <c r="E1311" s="19" t="s">
        <v>784</v>
      </c>
      <c r="F1311" s="19">
        <v>1</v>
      </c>
      <c r="G1311" s="43">
        <v>1318.88</v>
      </c>
    </row>
    <row r="1312" spans="1:7" x14ac:dyDescent="0.3">
      <c r="A1312" s="19">
        <v>322</v>
      </c>
      <c r="B1312" s="19" t="s">
        <v>2257</v>
      </c>
      <c r="C1312" s="19" t="s">
        <v>807</v>
      </c>
      <c r="D1312" s="19" t="s">
        <v>1563</v>
      </c>
      <c r="E1312" s="19" t="s">
        <v>784</v>
      </c>
      <c r="F1312" s="19">
        <v>1</v>
      </c>
      <c r="G1312" s="43">
        <v>605.54999999999995</v>
      </c>
    </row>
    <row r="1313" spans="1:7" x14ac:dyDescent="0.3">
      <c r="A1313" s="19">
        <v>2089</v>
      </c>
      <c r="B1313" s="19" t="s">
        <v>2258</v>
      </c>
      <c r="C1313" s="19" t="s">
        <v>774</v>
      </c>
      <c r="D1313" s="19" t="s">
        <v>788</v>
      </c>
      <c r="E1313" s="19" t="s">
        <v>784</v>
      </c>
      <c r="F1313" s="19">
        <v>0</v>
      </c>
      <c r="G1313" s="43">
        <v>0</v>
      </c>
    </row>
    <row r="1314" spans="1:7" x14ac:dyDescent="0.3">
      <c r="A1314" s="19">
        <v>2381</v>
      </c>
      <c r="B1314" s="19" t="s">
        <v>2259</v>
      </c>
      <c r="C1314" s="19" t="s">
        <v>774</v>
      </c>
      <c r="D1314" s="19" t="s">
        <v>788</v>
      </c>
      <c r="E1314" s="19" t="s">
        <v>784</v>
      </c>
      <c r="F1314" s="19">
        <v>0</v>
      </c>
      <c r="G1314" s="43">
        <v>0</v>
      </c>
    </row>
    <row r="1315" spans="1:7" x14ac:dyDescent="0.3">
      <c r="A1315" s="19">
        <v>1847</v>
      </c>
      <c r="B1315" s="19" t="s">
        <v>2260</v>
      </c>
      <c r="C1315" s="19" t="s">
        <v>807</v>
      </c>
      <c r="D1315" s="19" t="s">
        <v>808</v>
      </c>
      <c r="E1315" s="19" t="s">
        <v>784</v>
      </c>
      <c r="F1315" s="19">
        <v>0</v>
      </c>
      <c r="G1315" s="43">
        <v>4000</v>
      </c>
    </row>
    <row r="1316" spans="1:7" x14ac:dyDescent="0.3">
      <c r="A1316" s="19">
        <v>1363</v>
      </c>
      <c r="B1316" s="19" t="s">
        <v>2261</v>
      </c>
      <c r="C1316" s="19" t="s">
        <v>774</v>
      </c>
      <c r="D1316" s="19" t="s">
        <v>794</v>
      </c>
      <c r="E1316" s="19" t="s">
        <v>784</v>
      </c>
      <c r="F1316" s="19">
        <v>1</v>
      </c>
      <c r="G1316" s="43">
        <v>1341.06</v>
      </c>
    </row>
    <row r="1317" spans="1:7" x14ac:dyDescent="0.3">
      <c r="A1317" s="19">
        <v>1404</v>
      </c>
      <c r="B1317" s="19" t="s">
        <v>2262</v>
      </c>
      <c r="C1317" s="19" t="s">
        <v>774</v>
      </c>
      <c r="D1317" s="19" t="s">
        <v>775</v>
      </c>
      <c r="E1317" s="19" t="s">
        <v>784</v>
      </c>
      <c r="F1317" s="19">
        <v>0</v>
      </c>
      <c r="G1317" s="43">
        <v>1562</v>
      </c>
    </row>
    <row r="1318" spans="1:7" x14ac:dyDescent="0.3">
      <c r="A1318" s="19">
        <v>390</v>
      </c>
      <c r="B1318" s="19" t="s">
        <v>2263</v>
      </c>
      <c r="C1318" s="19" t="s">
        <v>774</v>
      </c>
      <c r="D1318" s="19" t="s">
        <v>786</v>
      </c>
      <c r="E1318" s="19" t="s">
        <v>784</v>
      </c>
      <c r="F1318" s="19">
        <v>1</v>
      </c>
      <c r="G1318" s="43">
        <v>908.85</v>
      </c>
    </row>
    <row r="1319" spans="1:7" x14ac:dyDescent="0.3">
      <c r="A1319" s="19">
        <v>3126</v>
      </c>
      <c r="B1319" s="19" t="s">
        <v>2264</v>
      </c>
      <c r="C1319" s="19" t="s">
        <v>774</v>
      </c>
      <c r="D1319" s="19" t="s">
        <v>2265</v>
      </c>
      <c r="E1319" s="19" t="s">
        <v>784</v>
      </c>
      <c r="F1319" s="19">
        <v>0</v>
      </c>
      <c r="G1319" s="43">
        <v>1000</v>
      </c>
    </row>
    <row r="1320" spans="1:7" x14ac:dyDescent="0.3">
      <c r="A1320" s="19">
        <v>2277</v>
      </c>
      <c r="B1320" s="19" t="s">
        <v>2266</v>
      </c>
      <c r="C1320" s="19" t="s">
        <v>774</v>
      </c>
      <c r="D1320" s="19" t="s">
        <v>2265</v>
      </c>
      <c r="E1320" s="19" t="s">
        <v>784</v>
      </c>
      <c r="F1320" s="19">
        <v>0</v>
      </c>
      <c r="G1320" s="43">
        <v>0</v>
      </c>
    </row>
    <row r="1321" spans="1:7" x14ac:dyDescent="0.3">
      <c r="A1321" s="19">
        <v>1794</v>
      </c>
      <c r="B1321" s="19" t="s">
        <v>2267</v>
      </c>
      <c r="C1321" s="19" t="s">
        <v>774</v>
      </c>
      <c r="D1321" s="19" t="s">
        <v>775</v>
      </c>
      <c r="E1321" s="19" t="s">
        <v>784</v>
      </c>
      <c r="F1321" s="19">
        <v>0</v>
      </c>
      <c r="G1321" s="43">
        <v>760</v>
      </c>
    </row>
    <row r="1322" spans="1:7" x14ac:dyDescent="0.3">
      <c r="A1322" s="19">
        <v>3742</v>
      </c>
      <c r="B1322" s="19" t="s">
        <v>2268</v>
      </c>
      <c r="C1322" s="19" t="s">
        <v>774</v>
      </c>
      <c r="D1322" s="19" t="s">
        <v>775</v>
      </c>
      <c r="E1322" s="19" t="s">
        <v>784</v>
      </c>
      <c r="F1322" s="19">
        <v>0</v>
      </c>
      <c r="G1322" s="43">
        <v>5186</v>
      </c>
    </row>
    <row r="1323" spans="1:7" x14ac:dyDescent="0.3">
      <c r="A1323" s="19">
        <v>185</v>
      </c>
      <c r="B1323" s="19" t="s">
        <v>2269</v>
      </c>
      <c r="C1323" s="19" t="s">
        <v>774</v>
      </c>
      <c r="D1323" s="19" t="s">
        <v>778</v>
      </c>
      <c r="E1323" s="19" t="s">
        <v>784</v>
      </c>
      <c r="F1323" s="19">
        <v>0.113</v>
      </c>
      <c r="G1323" s="43">
        <v>6368.94</v>
      </c>
    </row>
    <row r="1324" spans="1:7" x14ac:dyDescent="0.3">
      <c r="A1324" s="19">
        <v>94</v>
      </c>
      <c r="B1324" s="19" t="s">
        <v>2270</v>
      </c>
      <c r="C1324" s="19" t="s">
        <v>807</v>
      </c>
      <c r="D1324" s="19" t="s">
        <v>808</v>
      </c>
      <c r="E1324" s="19" t="s">
        <v>784</v>
      </c>
      <c r="F1324" s="19">
        <v>0</v>
      </c>
      <c r="G1324" s="43">
        <v>1200</v>
      </c>
    </row>
    <row r="1325" spans="1:7" x14ac:dyDescent="0.3">
      <c r="A1325" s="19">
        <v>324</v>
      </c>
      <c r="B1325" s="19" t="s">
        <v>2271</v>
      </c>
      <c r="C1325" s="19" t="s">
        <v>774</v>
      </c>
      <c r="D1325" s="19" t="s">
        <v>794</v>
      </c>
      <c r="E1325" s="19" t="s">
        <v>784</v>
      </c>
      <c r="F1325" s="19">
        <v>1</v>
      </c>
      <c r="G1325" s="43">
        <v>793.1</v>
      </c>
    </row>
    <row r="1326" spans="1:7" x14ac:dyDescent="0.3">
      <c r="A1326" s="19">
        <v>2399</v>
      </c>
      <c r="B1326" s="19" t="s">
        <v>2272</v>
      </c>
      <c r="C1326" s="19" t="s">
        <v>807</v>
      </c>
      <c r="D1326" s="19" t="s">
        <v>808</v>
      </c>
      <c r="E1326" s="19" t="s">
        <v>784</v>
      </c>
      <c r="F1326" s="19">
        <v>0</v>
      </c>
      <c r="G1326" s="43">
        <v>0</v>
      </c>
    </row>
    <row r="1327" spans="1:7" x14ac:dyDescent="0.3">
      <c r="A1327" s="19">
        <v>2382</v>
      </c>
      <c r="B1327" s="19" t="s">
        <v>2273</v>
      </c>
      <c r="C1327" s="19" t="s">
        <v>774</v>
      </c>
      <c r="D1327" s="19" t="s">
        <v>788</v>
      </c>
      <c r="E1327" s="19" t="s">
        <v>784</v>
      </c>
      <c r="F1327" s="19">
        <v>0</v>
      </c>
      <c r="G1327" s="43">
        <v>1209</v>
      </c>
    </row>
    <row r="1328" spans="1:7" x14ac:dyDescent="0.3">
      <c r="A1328" s="19">
        <v>1778</v>
      </c>
      <c r="B1328" s="19" t="s">
        <v>2274</v>
      </c>
      <c r="C1328" s="19" t="s">
        <v>807</v>
      </c>
      <c r="D1328" s="19" t="s">
        <v>808</v>
      </c>
      <c r="E1328" s="19" t="s">
        <v>784</v>
      </c>
      <c r="F1328" s="19">
        <v>0</v>
      </c>
      <c r="G1328" s="43">
        <v>0</v>
      </c>
    </row>
    <row r="1329" spans="1:7" x14ac:dyDescent="0.3">
      <c r="A1329" s="19">
        <v>2383</v>
      </c>
      <c r="B1329" s="19" t="s">
        <v>2275</v>
      </c>
      <c r="C1329" s="19" t="s">
        <v>774</v>
      </c>
      <c r="D1329" s="19" t="s">
        <v>788</v>
      </c>
      <c r="E1329" s="19" t="s">
        <v>784</v>
      </c>
      <c r="F1329" s="19">
        <v>0</v>
      </c>
      <c r="G1329" s="43">
        <v>0</v>
      </c>
    </row>
    <row r="1330" spans="1:7" x14ac:dyDescent="0.3">
      <c r="A1330" s="19">
        <v>724</v>
      </c>
      <c r="B1330" s="19" t="s">
        <v>2276</v>
      </c>
      <c r="C1330" s="19" t="s">
        <v>774</v>
      </c>
      <c r="D1330" s="19" t="s">
        <v>778</v>
      </c>
      <c r="E1330" s="19" t="s">
        <v>784</v>
      </c>
      <c r="F1330" s="19">
        <v>0</v>
      </c>
      <c r="G1330" s="43">
        <v>1907.86</v>
      </c>
    </row>
    <row r="1331" spans="1:7" x14ac:dyDescent="0.3">
      <c r="A1331" s="19">
        <v>1810</v>
      </c>
      <c r="B1331" s="19" t="s">
        <v>2277</v>
      </c>
      <c r="C1331" s="19" t="s">
        <v>774</v>
      </c>
      <c r="D1331" s="19" t="s">
        <v>1911</v>
      </c>
      <c r="E1331" s="19" t="s">
        <v>784</v>
      </c>
      <c r="F1331" s="19">
        <v>0</v>
      </c>
      <c r="G1331" s="43">
        <v>462.43</v>
      </c>
    </row>
    <row r="1332" spans="1:7" x14ac:dyDescent="0.3">
      <c r="A1332" s="19">
        <v>3324</v>
      </c>
      <c r="B1332" s="19" t="s">
        <v>2278</v>
      </c>
      <c r="C1332" s="19" t="s">
        <v>774</v>
      </c>
      <c r="D1332" s="19" t="s">
        <v>788</v>
      </c>
      <c r="E1332" s="19" t="s">
        <v>784</v>
      </c>
      <c r="F1332" s="19">
        <v>0</v>
      </c>
      <c r="G1332" s="43">
        <v>0</v>
      </c>
    </row>
    <row r="1333" spans="1:7" x14ac:dyDescent="0.3">
      <c r="A1333" s="19">
        <v>2400</v>
      </c>
      <c r="B1333" s="19" t="s">
        <v>2279</v>
      </c>
      <c r="C1333" s="19" t="s">
        <v>807</v>
      </c>
      <c r="D1333" s="19" t="s">
        <v>808</v>
      </c>
      <c r="E1333" s="19" t="s">
        <v>784</v>
      </c>
      <c r="F1333" s="19">
        <v>0</v>
      </c>
      <c r="G1333" s="43">
        <v>1400</v>
      </c>
    </row>
    <row r="1334" spans="1:7" x14ac:dyDescent="0.3">
      <c r="A1334" s="19">
        <v>2482</v>
      </c>
      <c r="B1334" s="19" t="s">
        <v>2280</v>
      </c>
      <c r="C1334" s="19" t="s">
        <v>774</v>
      </c>
      <c r="D1334" s="19" t="s">
        <v>1554</v>
      </c>
      <c r="E1334" s="19" t="s">
        <v>784</v>
      </c>
      <c r="F1334" s="19">
        <v>0</v>
      </c>
      <c r="G1334" s="43">
        <v>3946.45</v>
      </c>
    </row>
    <row r="1335" spans="1:7" x14ac:dyDescent="0.3">
      <c r="A1335" s="19">
        <v>391</v>
      </c>
      <c r="B1335" s="19" t="s">
        <v>2281</v>
      </c>
      <c r="C1335" s="19" t="s">
        <v>774</v>
      </c>
      <c r="D1335" s="19" t="s">
        <v>786</v>
      </c>
      <c r="E1335" s="19" t="s">
        <v>784</v>
      </c>
      <c r="F1335" s="19">
        <v>1</v>
      </c>
      <c r="G1335" s="43">
        <v>984.34</v>
      </c>
    </row>
    <row r="1336" spans="1:7" x14ac:dyDescent="0.3">
      <c r="A1336" s="19">
        <v>92</v>
      </c>
      <c r="B1336" s="19" t="s">
        <v>2282</v>
      </c>
      <c r="C1336" s="19" t="s">
        <v>807</v>
      </c>
      <c r="D1336" s="19" t="s">
        <v>1554</v>
      </c>
      <c r="E1336" s="19" t="s">
        <v>784</v>
      </c>
      <c r="F1336" s="19">
        <v>0</v>
      </c>
      <c r="G1336" s="43">
        <v>550</v>
      </c>
    </row>
    <row r="1337" spans="1:7" x14ac:dyDescent="0.3">
      <c r="A1337" s="19">
        <v>1259</v>
      </c>
      <c r="B1337" s="19" t="s">
        <v>2283</v>
      </c>
      <c r="C1337" s="19" t="s">
        <v>807</v>
      </c>
      <c r="D1337" s="19" t="s">
        <v>1922</v>
      </c>
      <c r="E1337" s="19" t="s">
        <v>784</v>
      </c>
      <c r="F1337" s="19">
        <v>1</v>
      </c>
      <c r="G1337" s="43">
        <v>3586.3</v>
      </c>
    </row>
    <row r="1338" spans="1:7" x14ac:dyDescent="0.3">
      <c r="A1338" s="19">
        <v>3321</v>
      </c>
      <c r="B1338" s="19" t="s">
        <v>2284</v>
      </c>
      <c r="C1338" s="19" t="s">
        <v>774</v>
      </c>
      <c r="D1338" s="19" t="s">
        <v>778</v>
      </c>
      <c r="E1338" s="19" t="s">
        <v>784</v>
      </c>
      <c r="F1338" s="19">
        <v>0</v>
      </c>
      <c r="G1338" s="43">
        <v>0</v>
      </c>
    </row>
    <row r="1339" spans="1:7" x14ac:dyDescent="0.3">
      <c r="A1339" s="19">
        <v>2281</v>
      </c>
      <c r="B1339" s="19" t="s">
        <v>2285</v>
      </c>
      <c r="C1339" s="19" t="s">
        <v>774</v>
      </c>
      <c r="D1339" s="19" t="s">
        <v>775</v>
      </c>
      <c r="E1339" s="19" t="s">
        <v>784</v>
      </c>
      <c r="F1339" s="19">
        <v>0</v>
      </c>
      <c r="G1339" s="43">
        <v>952.44</v>
      </c>
    </row>
    <row r="1340" spans="1:7" x14ac:dyDescent="0.3">
      <c r="A1340" s="19">
        <v>1357</v>
      </c>
      <c r="B1340" s="19" t="s">
        <v>2286</v>
      </c>
      <c r="C1340" s="19" t="s">
        <v>774</v>
      </c>
      <c r="D1340" s="19" t="s">
        <v>775</v>
      </c>
      <c r="E1340" s="19" t="s">
        <v>784</v>
      </c>
      <c r="F1340" s="19">
        <v>0</v>
      </c>
      <c r="G1340" s="43">
        <v>737</v>
      </c>
    </row>
    <row r="1341" spans="1:7" x14ac:dyDescent="0.3">
      <c r="A1341" s="19">
        <v>1367</v>
      </c>
      <c r="B1341" s="19" t="s">
        <v>2287</v>
      </c>
      <c r="C1341" s="19" t="s">
        <v>774</v>
      </c>
      <c r="D1341" s="19" t="s">
        <v>775</v>
      </c>
      <c r="E1341" s="19" t="s">
        <v>784</v>
      </c>
      <c r="F1341" s="19">
        <v>0</v>
      </c>
      <c r="G1341" s="43">
        <v>1305</v>
      </c>
    </row>
    <row r="1342" spans="1:7" x14ac:dyDescent="0.3">
      <c r="A1342" s="19">
        <v>200</v>
      </c>
      <c r="B1342" s="19" t="s">
        <v>2288</v>
      </c>
      <c r="C1342" s="19" t="s">
        <v>774</v>
      </c>
      <c r="D1342" s="19" t="s">
        <v>778</v>
      </c>
      <c r="E1342" s="19" t="s">
        <v>784</v>
      </c>
      <c r="F1342" s="19">
        <v>1</v>
      </c>
      <c r="G1342" s="43">
        <v>1221.5899999999999</v>
      </c>
    </row>
    <row r="1343" spans="1:7" x14ac:dyDescent="0.3">
      <c r="A1343" s="19">
        <v>313</v>
      </c>
      <c r="B1343" s="19" t="s">
        <v>2289</v>
      </c>
      <c r="C1343" s="19" t="s">
        <v>807</v>
      </c>
      <c r="D1343" s="19" t="s">
        <v>808</v>
      </c>
      <c r="E1343" s="19" t="s">
        <v>784</v>
      </c>
      <c r="F1343" s="19">
        <v>0</v>
      </c>
      <c r="G1343" s="43">
        <v>1400</v>
      </c>
    </row>
    <row r="1344" spans="1:7" x14ac:dyDescent="0.3">
      <c r="A1344" s="19">
        <v>1775</v>
      </c>
      <c r="B1344" s="19" t="s">
        <v>2290</v>
      </c>
      <c r="C1344" s="19" t="s">
        <v>2291</v>
      </c>
      <c r="D1344" s="19" t="s">
        <v>2292</v>
      </c>
      <c r="E1344" s="19" t="s">
        <v>784</v>
      </c>
      <c r="F1344" s="19">
        <v>1</v>
      </c>
      <c r="G1344" s="43">
        <v>3500</v>
      </c>
    </row>
    <row r="1345" spans="1:7" x14ac:dyDescent="0.3">
      <c r="A1345" s="19">
        <v>761</v>
      </c>
      <c r="B1345" s="19" t="s">
        <v>2293</v>
      </c>
      <c r="C1345" s="19" t="s">
        <v>774</v>
      </c>
      <c r="D1345" s="19" t="s">
        <v>778</v>
      </c>
      <c r="E1345" s="19" t="s">
        <v>784</v>
      </c>
      <c r="F1345" s="19">
        <v>0.113</v>
      </c>
      <c r="G1345" s="43">
        <v>3527.59</v>
      </c>
    </row>
    <row r="1346" spans="1:7" x14ac:dyDescent="0.3">
      <c r="A1346" s="19">
        <v>751</v>
      </c>
      <c r="B1346" s="19" t="s">
        <v>2294</v>
      </c>
      <c r="C1346" s="19" t="s">
        <v>774</v>
      </c>
      <c r="D1346" s="19" t="s">
        <v>778</v>
      </c>
      <c r="E1346" s="19" t="s">
        <v>784</v>
      </c>
      <c r="F1346" s="19">
        <v>0.45300000000000001</v>
      </c>
      <c r="G1346" s="43">
        <v>2320.96</v>
      </c>
    </row>
    <row r="1347" spans="1:7" x14ac:dyDescent="0.3">
      <c r="A1347" s="19">
        <v>2284</v>
      </c>
      <c r="B1347" s="19" t="s">
        <v>2295</v>
      </c>
      <c r="C1347" s="19" t="s">
        <v>774</v>
      </c>
      <c r="D1347" s="19" t="s">
        <v>1968</v>
      </c>
      <c r="E1347" s="19" t="s">
        <v>784</v>
      </c>
      <c r="F1347" s="19">
        <v>0</v>
      </c>
      <c r="G1347" s="43">
        <v>550</v>
      </c>
    </row>
    <row r="1348" spans="1:7" x14ac:dyDescent="0.3">
      <c r="A1348" s="19">
        <v>1806</v>
      </c>
      <c r="B1348" s="19" t="s">
        <v>2296</v>
      </c>
      <c r="C1348" s="19" t="s">
        <v>774</v>
      </c>
      <c r="D1348" s="19" t="s">
        <v>1851</v>
      </c>
      <c r="E1348" s="19" t="s">
        <v>784</v>
      </c>
      <c r="F1348" s="19">
        <v>0</v>
      </c>
      <c r="G1348" s="43">
        <v>1671.6</v>
      </c>
    </row>
    <row r="1349" spans="1:7" x14ac:dyDescent="0.3">
      <c r="A1349" s="19">
        <v>1785</v>
      </c>
      <c r="B1349" s="19" t="s">
        <v>2297</v>
      </c>
      <c r="C1349" s="19" t="s">
        <v>774</v>
      </c>
      <c r="D1349" s="19" t="s">
        <v>775</v>
      </c>
      <c r="E1349" s="19" t="s">
        <v>784</v>
      </c>
      <c r="F1349" s="19">
        <v>0</v>
      </c>
      <c r="G1349" s="43">
        <v>2394.5700000000002</v>
      </c>
    </row>
    <row r="1350" spans="1:7" x14ac:dyDescent="0.3">
      <c r="A1350" s="19">
        <v>757</v>
      </c>
      <c r="B1350" s="19" t="s">
        <v>2298</v>
      </c>
      <c r="C1350" s="19" t="s">
        <v>774</v>
      </c>
      <c r="D1350" s="19" t="s">
        <v>778</v>
      </c>
      <c r="E1350" s="19" t="s">
        <v>784</v>
      </c>
      <c r="F1350" s="19">
        <v>1</v>
      </c>
      <c r="G1350" s="43">
        <v>864.56</v>
      </c>
    </row>
    <row r="1351" spans="1:7" x14ac:dyDescent="0.3">
      <c r="A1351" s="19">
        <v>758</v>
      </c>
      <c r="B1351" s="19" t="s">
        <v>2299</v>
      </c>
      <c r="C1351" s="19" t="s">
        <v>774</v>
      </c>
      <c r="D1351" s="19" t="s">
        <v>775</v>
      </c>
      <c r="E1351" s="19" t="s">
        <v>784</v>
      </c>
      <c r="F1351" s="19">
        <v>0.113</v>
      </c>
      <c r="G1351" s="43">
        <v>1929.26</v>
      </c>
    </row>
    <row r="1352" spans="1:7" x14ac:dyDescent="0.3">
      <c r="A1352" s="19">
        <v>189</v>
      </c>
      <c r="B1352" s="19" t="s">
        <v>2300</v>
      </c>
      <c r="C1352" s="19" t="s">
        <v>774</v>
      </c>
      <c r="D1352" s="19" t="s">
        <v>775</v>
      </c>
      <c r="E1352" s="19" t="s">
        <v>784</v>
      </c>
      <c r="F1352" s="19">
        <v>0.113</v>
      </c>
      <c r="G1352" s="43">
        <v>748.42</v>
      </c>
    </row>
    <row r="1353" spans="1:7" x14ac:dyDescent="0.3">
      <c r="A1353" s="19">
        <v>1425</v>
      </c>
      <c r="B1353" s="19" t="s">
        <v>2301</v>
      </c>
      <c r="C1353" s="19" t="s">
        <v>774</v>
      </c>
      <c r="D1353" s="19" t="s">
        <v>778</v>
      </c>
      <c r="E1353" s="19" t="s">
        <v>784</v>
      </c>
      <c r="F1353" s="19">
        <v>0</v>
      </c>
      <c r="G1353" s="43">
        <v>49413</v>
      </c>
    </row>
    <row r="1354" spans="1:7" x14ac:dyDescent="0.3">
      <c r="A1354" s="19">
        <v>392</v>
      </c>
      <c r="B1354" s="19" t="s">
        <v>2302</v>
      </c>
      <c r="C1354" s="19" t="s">
        <v>774</v>
      </c>
      <c r="D1354" s="19" t="s">
        <v>786</v>
      </c>
      <c r="E1354" s="19" t="s">
        <v>784</v>
      </c>
      <c r="F1354" s="19">
        <v>1</v>
      </c>
      <c r="G1354" s="43">
        <v>11896.28</v>
      </c>
    </row>
    <row r="1355" spans="1:7" x14ac:dyDescent="0.3">
      <c r="A1355" s="19">
        <v>2922</v>
      </c>
      <c r="B1355" s="19" t="s">
        <v>2303</v>
      </c>
      <c r="C1355" s="19" t="s">
        <v>781</v>
      </c>
      <c r="D1355" s="19" t="s">
        <v>819</v>
      </c>
      <c r="E1355" s="19" t="s">
        <v>784</v>
      </c>
      <c r="F1355" s="19">
        <v>0</v>
      </c>
      <c r="G1355" s="43">
        <v>8.35</v>
      </c>
    </row>
    <row r="1356" spans="1:7" x14ac:dyDescent="0.3">
      <c r="A1356" s="19">
        <v>367</v>
      </c>
      <c r="B1356" s="19" t="s">
        <v>2304</v>
      </c>
      <c r="C1356" s="19" t="s">
        <v>899</v>
      </c>
      <c r="D1356" s="19" t="s">
        <v>775</v>
      </c>
      <c r="E1356" s="19" t="s">
        <v>784</v>
      </c>
      <c r="F1356" s="19">
        <v>0</v>
      </c>
      <c r="G1356" s="43">
        <v>1150</v>
      </c>
    </row>
    <row r="1357" spans="1:7" x14ac:dyDescent="0.3">
      <c r="A1357" s="19">
        <v>1359</v>
      </c>
      <c r="B1357" s="19" t="s">
        <v>2305</v>
      </c>
      <c r="C1357" s="19" t="s">
        <v>774</v>
      </c>
      <c r="D1357" s="19" t="s">
        <v>775</v>
      </c>
      <c r="E1357" s="19" t="s">
        <v>784</v>
      </c>
      <c r="F1357" s="19">
        <v>0</v>
      </c>
      <c r="G1357" s="43">
        <v>794</v>
      </c>
    </row>
    <row r="1358" spans="1:7" x14ac:dyDescent="0.3">
      <c r="A1358" s="19">
        <v>1805</v>
      </c>
      <c r="B1358" s="19" t="s">
        <v>2306</v>
      </c>
      <c r="C1358" s="19" t="s">
        <v>774</v>
      </c>
      <c r="D1358" s="19" t="s">
        <v>788</v>
      </c>
      <c r="E1358" s="19" t="s">
        <v>784</v>
      </c>
      <c r="F1358" s="19">
        <v>0</v>
      </c>
      <c r="G1358" s="43">
        <v>0</v>
      </c>
    </row>
    <row r="1359" spans="1:7" x14ac:dyDescent="0.3">
      <c r="A1359" s="19">
        <v>2288</v>
      </c>
      <c r="B1359" s="19" t="s">
        <v>2307</v>
      </c>
      <c r="C1359" s="19" t="s">
        <v>774</v>
      </c>
      <c r="D1359" s="19" t="s">
        <v>788</v>
      </c>
      <c r="E1359" s="19" t="s">
        <v>784</v>
      </c>
      <c r="F1359" s="19">
        <v>0</v>
      </c>
      <c r="G1359" s="43">
        <v>0</v>
      </c>
    </row>
    <row r="1360" spans="1:7" x14ac:dyDescent="0.3">
      <c r="A1360" s="19">
        <v>1394</v>
      </c>
      <c r="B1360" s="19" t="s">
        <v>2308</v>
      </c>
      <c r="C1360" s="19" t="s">
        <v>774</v>
      </c>
      <c r="D1360" s="19" t="s">
        <v>775</v>
      </c>
      <c r="E1360" s="19" t="s">
        <v>784</v>
      </c>
      <c r="F1360" s="19">
        <v>0.45300000000000001</v>
      </c>
      <c r="G1360" s="43">
        <v>1163.48</v>
      </c>
    </row>
    <row r="1361" spans="1:7" x14ac:dyDescent="0.3">
      <c r="A1361" s="19">
        <v>1439</v>
      </c>
      <c r="B1361" s="19" t="s">
        <v>2309</v>
      </c>
      <c r="C1361" s="19" t="s">
        <v>781</v>
      </c>
      <c r="D1361" s="19" t="s">
        <v>2143</v>
      </c>
      <c r="E1361" s="19" t="s">
        <v>784</v>
      </c>
      <c r="F1361" s="19">
        <v>0</v>
      </c>
      <c r="G1361" s="43">
        <v>4.5999999999999996</v>
      </c>
    </row>
    <row r="1362" spans="1:7" x14ac:dyDescent="0.3">
      <c r="A1362" s="19">
        <v>202</v>
      </c>
      <c r="B1362" s="19" t="s">
        <v>2310</v>
      </c>
      <c r="C1362" s="19" t="s">
        <v>774</v>
      </c>
      <c r="D1362" s="19" t="s">
        <v>778</v>
      </c>
      <c r="E1362" s="19" t="s">
        <v>784</v>
      </c>
      <c r="F1362" s="19">
        <v>0</v>
      </c>
      <c r="G1362" s="43">
        <v>3082.49</v>
      </c>
    </row>
    <row r="1363" spans="1:7" x14ac:dyDescent="0.3">
      <c r="A1363" s="19">
        <v>2982</v>
      </c>
      <c r="B1363" s="19" t="s">
        <v>2311</v>
      </c>
      <c r="C1363" s="19" t="s">
        <v>774</v>
      </c>
      <c r="D1363" s="19" t="s">
        <v>1851</v>
      </c>
      <c r="E1363" s="19" t="s">
        <v>784</v>
      </c>
      <c r="F1363" s="19">
        <v>1</v>
      </c>
      <c r="G1363" s="43">
        <v>1125.08</v>
      </c>
    </row>
    <row r="1364" spans="1:7" x14ac:dyDescent="0.3">
      <c r="A1364" s="19">
        <v>239</v>
      </c>
      <c r="B1364" s="19" t="s">
        <v>2312</v>
      </c>
      <c r="C1364" s="19" t="s">
        <v>774</v>
      </c>
      <c r="D1364" s="19" t="s">
        <v>778</v>
      </c>
      <c r="E1364" s="19" t="s">
        <v>784</v>
      </c>
      <c r="F1364" s="19">
        <v>1</v>
      </c>
      <c r="G1364" s="43">
        <v>3069</v>
      </c>
    </row>
    <row r="1365" spans="1:7" x14ac:dyDescent="0.3">
      <c r="A1365" s="19">
        <v>297</v>
      </c>
      <c r="B1365" s="19" t="s">
        <v>2313</v>
      </c>
      <c r="C1365" s="19" t="s">
        <v>774</v>
      </c>
      <c r="D1365" s="19" t="s">
        <v>778</v>
      </c>
      <c r="E1365" s="19" t="s">
        <v>784</v>
      </c>
      <c r="F1365" s="19">
        <v>1</v>
      </c>
      <c r="G1365" s="43">
        <v>1334.51</v>
      </c>
    </row>
    <row r="1366" spans="1:7" x14ac:dyDescent="0.3">
      <c r="A1366" s="19">
        <v>2483</v>
      </c>
      <c r="B1366" s="19" t="s">
        <v>2314</v>
      </c>
      <c r="C1366" s="19" t="s">
        <v>774</v>
      </c>
      <c r="D1366" s="19" t="s">
        <v>778</v>
      </c>
      <c r="E1366" s="19" t="s">
        <v>784</v>
      </c>
      <c r="F1366" s="19">
        <v>0</v>
      </c>
      <c r="G1366" s="43">
        <v>0</v>
      </c>
    </row>
    <row r="1367" spans="1:7" x14ac:dyDescent="0.3">
      <c r="A1367" s="19">
        <v>650</v>
      </c>
      <c r="B1367" s="19" t="s">
        <v>2315</v>
      </c>
      <c r="C1367" s="19" t="s">
        <v>774</v>
      </c>
      <c r="D1367" s="19" t="s">
        <v>786</v>
      </c>
      <c r="E1367" s="19" t="s">
        <v>784</v>
      </c>
      <c r="F1367" s="19">
        <v>1</v>
      </c>
      <c r="G1367" s="43">
        <v>1189.6300000000001</v>
      </c>
    </row>
    <row r="1368" spans="1:7" x14ac:dyDescent="0.3">
      <c r="A1368" s="19">
        <v>1352</v>
      </c>
      <c r="B1368" s="19" t="s">
        <v>2316</v>
      </c>
      <c r="C1368" s="19" t="s">
        <v>774</v>
      </c>
      <c r="D1368" s="19" t="s">
        <v>775</v>
      </c>
      <c r="E1368" s="19" t="s">
        <v>784</v>
      </c>
      <c r="F1368" s="19">
        <v>0</v>
      </c>
      <c r="G1368" s="43">
        <v>3012</v>
      </c>
    </row>
    <row r="1369" spans="1:7" x14ac:dyDescent="0.3">
      <c r="A1369" s="19">
        <v>760</v>
      </c>
      <c r="B1369" s="19" t="s">
        <v>2317</v>
      </c>
      <c r="C1369" s="19" t="s">
        <v>774</v>
      </c>
      <c r="D1369" s="19" t="s">
        <v>778</v>
      </c>
      <c r="E1369" s="19" t="s">
        <v>784</v>
      </c>
      <c r="F1369" s="19">
        <v>0</v>
      </c>
      <c r="G1369" s="43">
        <v>27990.07</v>
      </c>
    </row>
    <row r="1370" spans="1:7" x14ac:dyDescent="0.3">
      <c r="A1370" s="19">
        <v>1351</v>
      </c>
      <c r="B1370" s="19" t="s">
        <v>2318</v>
      </c>
      <c r="C1370" s="19" t="s">
        <v>774</v>
      </c>
      <c r="D1370" s="19" t="s">
        <v>775</v>
      </c>
      <c r="E1370" s="19" t="s">
        <v>784</v>
      </c>
      <c r="F1370" s="19">
        <v>0.45300000000000001</v>
      </c>
      <c r="G1370" s="43">
        <v>16172.96</v>
      </c>
    </row>
    <row r="1371" spans="1:7" x14ac:dyDescent="0.3">
      <c r="A1371" s="19">
        <v>3322</v>
      </c>
      <c r="B1371" s="19" t="s">
        <v>2319</v>
      </c>
      <c r="C1371" s="19" t="s">
        <v>774</v>
      </c>
      <c r="D1371" s="19" t="s">
        <v>788</v>
      </c>
      <c r="E1371" s="19" t="s">
        <v>784</v>
      </c>
      <c r="F1371" s="19">
        <v>0</v>
      </c>
      <c r="G1371" s="43">
        <v>0</v>
      </c>
    </row>
    <row r="1372" spans="1:7" x14ac:dyDescent="0.3">
      <c r="A1372" s="19">
        <v>206</v>
      </c>
      <c r="B1372" s="19" t="s">
        <v>2320</v>
      </c>
      <c r="C1372" s="19" t="s">
        <v>774</v>
      </c>
      <c r="D1372" s="19" t="s">
        <v>778</v>
      </c>
      <c r="E1372" s="19" t="s">
        <v>784</v>
      </c>
      <c r="F1372" s="19">
        <v>1</v>
      </c>
      <c r="G1372" s="43">
        <v>1305.8599999999999</v>
      </c>
    </row>
    <row r="1373" spans="1:7" x14ac:dyDescent="0.3">
      <c r="A1373" s="19">
        <v>2927</v>
      </c>
      <c r="B1373" s="19" t="s">
        <v>2321</v>
      </c>
      <c r="C1373" s="19" t="s">
        <v>781</v>
      </c>
      <c r="D1373" s="19" t="s">
        <v>819</v>
      </c>
      <c r="E1373" s="19" t="s">
        <v>784</v>
      </c>
      <c r="F1373" s="19">
        <v>0</v>
      </c>
      <c r="G1373" s="43">
        <v>8.35</v>
      </c>
    </row>
    <row r="1374" spans="1:7" x14ac:dyDescent="0.3">
      <c r="A1374" s="19">
        <v>294</v>
      </c>
      <c r="B1374" s="19" t="s">
        <v>2322</v>
      </c>
      <c r="C1374" s="19" t="s">
        <v>774</v>
      </c>
      <c r="D1374" s="19" t="s">
        <v>778</v>
      </c>
      <c r="E1374" s="19" t="s">
        <v>784</v>
      </c>
      <c r="F1374" s="19">
        <v>0.45300000000000001</v>
      </c>
      <c r="G1374" s="43">
        <v>1375.04</v>
      </c>
    </row>
    <row r="1375" spans="1:7" x14ac:dyDescent="0.3">
      <c r="A1375" s="19">
        <v>1450</v>
      </c>
      <c r="B1375" s="19" t="s">
        <v>2323</v>
      </c>
      <c r="C1375" s="19" t="s">
        <v>774</v>
      </c>
      <c r="D1375" s="19" t="s">
        <v>2095</v>
      </c>
      <c r="E1375" s="19" t="s">
        <v>784</v>
      </c>
      <c r="F1375" s="19">
        <v>0</v>
      </c>
      <c r="G1375" s="43">
        <v>3954.23</v>
      </c>
    </row>
    <row r="1376" spans="1:7" x14ac:dyDescent="0.3">
      <c r="A1376" s="19">
        <v>1442</v>
      </c>
      <c r="B1376" s="19" t="s">
        <v>2324</v>
      </c>
      <c r="C1376" s="19" t="s">
        <v>774</v>
      </c>
      <c r="D1376" s="19" t="s">
        <v>2002</v>
      </c>
      <c r="E1376" s="19" t="s">
        <v>784</v>
      </c>
      <c r="F1376" s="19">
        <v>0</v>
      </c>
      <c r="G1376" s="43">
        <v>2385.4</v>
      </c>
    </row>
    <row r="1377" spans="1:7" x14ac:dyDescent="0.3">
      <c r="A1377" s="19">
        <v>193</v>
      </c>
      <c r="B1377" s="19" t="s">
        <v>2325</v>
      </c>
      <c r="C1377" s="19" t="s">
        <v>774</v>
      </c>
      <c r="D1377" s="19" t="s">
        <v>778</v>
      </c>
      <c r="E1377" s="19" t="s">
        <v>784</v>
      </c>
      <c r="F1377" s="19">
        <v>0</v>
      </c>
      <c r="G1377" s="43">
        <v>532.5</v>
      </c>
    </row>
    <row r="1378" spans="1:7" x14ac:dyDescent="0.3">
      <c r="A1378" s="19">
        <v>209</v>
      </c>
      <c r="B1378" s="19" t="s">
        <v>2326</v>
      </c>
      <c r="C1378" s="19" t="s">
        <v>774</v>
      </c>
      <c r="D1378" s="19" t="s">
        <v>775</v>
      </c>
      <c r="E1378" s="19" t="s">
        <v>784</v>
      </c>
      <c r="F1378" s="19">
        <v>0</v>
      </c>
      <c r="G1378" s="43">
        <v>6049.29</v>
      </c>
    </row>
    <row r="1379" spans="1:7" x14ac:dyDescent="0.3">
      <c r="A1379" s="19">
        <v>1443</v>
      </c>
      <c r="B1379" s="19" t="s">
        <v>2327</v>
      </c>
      <c r="C1379" s="19" t="s">
        <v>774</v>
      </c>
      <c r="D1379" s="19" t="s">
        <v>2002</v>
      </c>
      <c r="E1379" s="19" t="s">
        <v>784</v>
      </c>
      <c r="F1379" s="19">
        <v>0</v>
      </c>
      <c r="G1379" s="43">
        <v>2295.4299999999998</v>
      </c>
    </row>
    <row r="1380" spans="1:7" x14ac:dyDescent="0.3">
      <c r="A1380" s="19">
        <v>2813</v>
      </c>
      <c r="B1380" s="19" t="s">
        <v>2328</v>
      </c>
      <c r="C1380" s="19" t="s">
        <v>774</v>
      </c>
      <c r="D1380" s="19" t="s">
        <v>1911</v>
      </c>
      <c r="E1380" s="19" t="s">
        <v>784</v>
      </c>
      <c r="F1380" s="19">
        <v>0</v>
      </c>
      <c r="G1380" s="43">
        <v>365.98</v>
      </c>
    </row>
    <row r="1381" spans="1:7" x14ac:dyDescent="0.3">
      <c r="A1381" s="19">
        <v>1341</v>
      </c>
      <c r="B1381" s="19" t="s">
        <v>2329</v>
      </c>
      <c r="C1381" s="19" t="s">
        <v>774</v>
      </c>
      <c r="D1381" s="19" t="s">
        <v>775</v>
      </c>
      <c r="E1381" s="19" t="s">
        <v>784</v>
      </c>
      <c r="F1381" s="19">
        <v>0</v>
      </c>
      <c r="G1381" s="43">
        <v>11415</v>
      </c>
    </row>
    <row r="1382" spans="1:7" x14ac:dyDescent="0.3">
      <c r="A1382" s="19">
        <v>1819</v>
      </c>
      <c r="B1382" s="19" t="s">
        <v>2330</v>
      </c>
      <c r="C1382" s="19" t="s">
        <v>807</v>
      </c>
      <c r="D1382" s="19" t="s">
        <v>808</v>
      </c>
      <c r="E1382" s="19" t="s">
        <v>784</v>
      </c>
      <c r="F1382" s="19">
        <v>0</v>
      </c>
      <c r="G1382" s="43">
        <v>1500</v>
      </c>
    </row>
    <row r="1383" spans="1:7" x14ac:dyDescent="0.3">
      <c r="A1383" s="19">
        <v>989</v>
      </c>
      <c r="B1383" s="19" t="s">
        <v>2331</v>
      </c>
      <c r="C1383" s="19" t="s">
        <v>807</v>
      </c>
      <c r="D1383" s="19" t="s">
        <v>808</v>
      </c>
      <c r="E1383" s="19" t="s">
        <v>784</v>
      </c>
      <c r="F1383" s="19">
        <v>0</v>
      </c>
      <c r="G1383" s="43">
        <v>1500</v>
      </c>
    </row>
    <row r="1384" spans="1:7" x14ac:dyDescent="0.3">
      <c r="A1384" s="19">
        <v>2046</v>
      </c>
      <c r="B1384" s="19" t="s">
        <v>2332</v>
      </c>
      <c r="C1384" s="19" t="s">
        <v>807</v>
      </c>
      <c r="D1384" s="19" t="s">
        <v>775</v>
      </c>
      <c r="E1384" s="19" t="s">
        <v>784</v>
      </c>
      <c r="F1384" s="19">
        <v>0</v>
      </c>
      <c r="G1384" s="43">
        <v>3058.6</v>
      </c>
    </row>
    <row r="1385" spans="1:7" x14ac:dyDescent="0.3">
      <c r="A1385" s="19">
        <v>2165</v>
      </c>
      <c r="B1385" s="19" t="s">
        <v>2333</v>
      </c>
      <c r="C1385" s="19" t="s">
        <v>774</v>
      </c>
      <c r="D1385" s="19" t="s">
        <v>788</v>
      </c>
      <c r="E1385" s="19" t="s">
        <v>784</v>
      </c>
      <c r="F1385" s="19">
        <v>0</v>
      </c>
      <c r="G1385" s="43">
        <v>491</v>
      </c>
    </row>
    <row r="1386" spans="1:7" x14ac:dyDescent="0.3">
      <c r="A1386" s="19">
        <v>1342</v>
      </c>
      <c r="B1386" s="19" t="s">
        <v>2334</v>
      </c>
      <c r="C1386" s="19" t="s">
        <v>774</v>
      </c>
      <c r="D1386" s="19" t="s">
        <v>775</v>
      </c>
      <c r="E1386" s="19" t="s">
        <v>784</v>
      </c>
      <c r="F1386" s="19">
        <v>0.45300000000000001</v>
      </c>
      <c r="G1386" s="43">
        <v>8078</v>
      </c>
    </row>
    <row r="1387" spans="1:7" x14ac:dyDescent="0.3">
      <c r="A1387" s="19">
        <v>2351</v>
      </c>
      <c r="B1387" s="19" t="s">
        <v>2335</v>
      </c>
      <c r="C1387" s="19" t="s">
        <v>774</v>
      </c>
      <c r="D1387" s="19" t="s">
        <v>1911</v>
      </c>
      <c r="E1387" s="19" t="s">
        <v>784</v>
      </c>
      <c r="F1387" s="19">
        <v>0</v>
      </c>
      <c r="G1387" s="43">
        <v>183.02</v>
      </c>
    </row>
    <row r="1388" spans="1:7" x14ac:dyDescent="0.3">
      <c r="A1388" s="19">
        <v>2352</v>
      </c>
      <c r="B1388" s="19" t="s">
        <v>2336</v>
      </c>
      <c r="C1388" s="19" t="s">
        <v>774</v>
      </c>
      <c r="D1388" s="19" t="s">
        <v>1911</v>
      </c>
      <c r="E1388" s="19" t="s">
        <v>784</v>
      </c>
      <c r="F1388" s="19">
        <v>4.4000000000000004</v>
      </c>
      <c r="G1388" s="43">
        <v>236.7</v>
      </c>
    </row>
    <row r="1389" spans="1:7" x14ac:dyDescent="0.3">
      <c r="A1389" s="19">
        <v>1216</v>
      </c>
      <c r="B1389" s="19" t="s">
        <v>2337</v>
      </c>
      <c r="C1389" s="19" t="s">
        <v>774</v>
      </c>
      <c r="D1389" s="19" t="s">
        <v>1911</v>
      </c>
      <c r="E1389" s="19" t="s">
        <v>784</v>
      </c>
      <c r="F1389" s="19">
        <v>4.4000000000000004</v>
      </c>
      <c r="G1389" s="43">
        <v>138.49</v>
      </c>
    </row>
    <row r="1390" spans="1:7" x14ac:dyDescent="0.3">
      <c r="A1390" s="19">
        <v>3378</v>
      </c>
      <c r="B1390" s="19" t="s">
        <v>2338</v>
      </c>
      <c r="C1390" s="19" t="s">
        <v>899</v>
      </c>
      <c r="D1390" s="19" t="s">
        <v>939</v>
      </c>
      <c r="E1390" s="19" t="s">
        <v>882</v>
      </c>
      <c r="F1390" s="19">
        <v>0</v>
      </c>
      <c r="G1390" s="43">
        <v>4.33</v>
      </c>
    </row>
    <row r="1391" spans="1:7" x14ac:dyDescent="0.3">
      <c r="A1391" s="19">
        <v>1260</v>
      </c>
      <c r="B1391" s="19" t="s">
        <v>2339</v>
      </c>
      <c r="C1391" s="19" t="s">
        <v>807</v>
      </c>
      <c r="D1391" s="19" t="s">
        <v>2340</v>
      </c>
      <c r="E1391" s="19" t="s">
        <v>784</v>
      </c>
      <c r="F1391" s="19">
        <v>0</v>
      </c>
      <c r="G1391" s="43">
        <v>750</v>
      </c>
    </row>
    <row r="1392" spans="1:7" x14ac:dyDescent="0.3">
      <c r="A1392" s="19">
        <v>1369</v>
      </c>
      <c r="B1392" s="19" t="s">
        <v>2341</v>
      </c>
      <c r="C1392" s="19" t="s">
        <v>774</v>
      </c>
      <c r="D1392" s="19" t="s">
        <v>786</v>
      </c>
      <c r="E1392" s="19" t="s">
        <v>784</v>
      </c>
      <c r="F1392" s="19">
        <v>1</v>
      </c>
      <c r="G1392" s="43">
        <v>514.9</v>
      </c>
    </row>
    <row r="1393" spans="1:7" x14ac:dyDescent="0.3">
      <c r="A1393" s="19">
        <v>507</v>
      </c>
      <c r="B1393" s="19" t="s">
        <v>2342</v>
      </c>
      <c r="C1393" s="19" t="s">
        <v>807</v>
      </c>
      <c r="D1393" s="19" t="s">
        <v>1939</v>
      </c>
      <c r="E1393" s="19" t="s">
        <v>784</v>
      </c>
      <c r="F1393" s="19">
        <v>5</v>
      </c>
      <c r="G1393" s="43">
        <v>293.47000000000003</v>
      </c>
    </row>
    <row r="1394" spans="1:7" x14ac:dyDescent="0.3">
      <c r="A1394" s="19">
        <v>3787</v>
      </c>
      <c r="B1394" s="19" t="s">
        <v>2343</v>
      </c>
      <c r="C1394" s="19" t="s">
        <v>899</v>
      </c>
      <c r="D1394" s="19" t="s">
        <v>939</v>
      </c>
      <c r="E1394" s="19" t="s">
        <v>882</v>
      </c>
      <c r="F1394" s="19">
        <v>0</v>
      </c>
      <c r="G1394" s="43">
        <v>2.13</v>
      </c>
    </row>
    <row r="1395" spans="1:7" x14ac:dyDescent="0.3">
      <c r="A1395" s="19">
        <v>263</v>
      </c>
      <c r="B1395" s="19" t="s">
        <v>2344</v>
      </c>
      <c r="C1395" s="19" t="s">
        <v>774</v>
      </c>
      <c r="D1395" s="19" t="s">
        <v>778</v>
      </c>
      <c r="E1395" s="19" t="s">
        <v>784</v>
      </c>
      <c r="F1395" s="19">
        <v>0.45300000000000001</v>
      </c>
      <c r="G1395" s="43">
        <v>3817.96</v>
      </c>
    </row>
    <row r="1396" spans="1:7" x14ac:dyDescent="0.3">
      <c r="A1396" s="19">
        <v>266</v>
      </c>
      <c r="B1396" s="19" t="s">
        <v>2345</v>
      </c>
      <c r="C1396" s="19" t="s">
        <v>774</v>
      </c>
      <c r="D1396" s="19" t="s">
        <v>778</v>
      </c>
      <c r="E1396" s="19" t="s">
        <v>784</v>
      </c>
      <c r="F1396" s="19">
        <v>0.45300000000000001</v>
      </c>
      <c r="G1396" s="43">
        <v>1585.58</v>
      </c>
    </row>
    <row r="1397" spans="1:7" x14ac:dyDescent="0.3">
      <c r="A1397" s="19">
        <v>325</v>
      </c>
      <c r="B1397" s="19" t="s">
        <v>2346</v>
      </c>
      <c r="C1397" s="19" t="s">
        <v>774</v>
      </c>
      <c r="D1397" s="19" t="s">
        <v>794</v>
      </c>
      <c r="E1397" s="19" t="s">
        <v>784</v>
      </c>
      <c r="F1397" s="19">
        <v>1</v>
      </c>
      <c r="G1397" s="43">
        <v>386.25</v>
      </c>
    </row>
    <row r="1398" spans="1:7" x14ac:dyDescent="0.3">
      <c r="A1398" s="19">
        <v>289</v>
      </c>
      <c r="B1398" s="19" t="s">
        <v>2347</v>
      </c>
      <c r="C1398" s="19" t="s">
        <v>774</v>
      </c>
      <c r="D1398" s="19" t="s">
        <v>778</v>
      </c>
      <c r="E1398" s="19" t="s">
        <v>784</v>
      </c>
      <c r="F1398" s="19">
        <v>0</v>
      </c>
      <c r="G1398" s="43">
        <v>2598.77</v>
      </c>
    </row>
    <row r="1399" spans="1:7" x14ac:dyDescent="0.3">
      <c r="A1399" s="19">
        <v>3323</v>
      </c>
      <c r="B1399" s="19" t="s">
        <v>2348</v>
      </c>
      <c r="C1399" s="19" t="s">
        <v>774</v>
      </c>
      <c r="D1399" s="19" t="s">
        <v>778</v>
      </c>
      <c r="E1399" s="19" t="s">
        <v>784</v>
      </c>
      <c r="F1399" s="19">
        <v>0</v>
      </c>
      <c r="G1399" s="43">
        <v>4192.62</v>
      </c>
    </row>
    <row r="1400" spans="1:7" x14ac:dyDescent="0.3">
      <c r="A1400" s="19">
        <v>288</v>
      </c>
      <c r="B1400" s="19" t="s">
        <v>2349</v>
      </c>
      <c r="C1400" s="19" t="s">
        <v>774</v>
      </c>
      <c r="D1400" s="19" t="s">
        <v>778</v>
      </c>
      <c r="E1400" s="19" t="s">
        <v>784</v>
      </c>
      <c r="F1400" s="19">
        <v>0</v>
      </c>
      <c r="G1400" s="43">
        <v>2190.7600000000002</v>
      </c>
    </row>
    <row r="1401" spans="1:7" x14ac:dyDescent="0.3">
      <c r="A1401" s="19">
        <v>1809</v>
      </c>
      <c r="B1401" s="19" t="s">
        <v>2350</v>
      </c>
      <c r="C1401" s="19" t="s">
        <v>774</v>
      </c>
      <c r="D1401" s="19" t="s">
        <v>788</v>
      </c>
      <c r="E1401" s="19" t="s">
        <v>784</v>
      </c>
      <c r="F1401" s="19">
        <v>0</v>
      </c>
      <c r="G1401" s="43">
        <v>0</v>
      </c>
    </row>
    <row r="1402" spans="1:7" x14ac:dyDescent="0.3">
      <c r="A1402" s="19">
        <v>1344</v>
      </c>
      <c r="B1402" s="19" t="s">
        <v>2351</v>
      </c>
      <c r="C1402" s="19" t="s">
        <v>774</v>
      </c>
      <c r="D1402" s="19" t="s">
        <v>775</v>
      </c>
      <c r="E1402" s="19" t="s">
        <v>784</v>
      </c>
      <c r="F1402" s="19">
        <v>0</v>
      </c>
      <c r="G1402" s="43">
        <v>1336</v>
      </c>
    </row>
    <row r="1403" spans="1:7" x14ac:dyDescent="0.3">
      <c r="A1403" s="19">
        <v>341</v>
      </c>
      <c r="B1403" s="19" t="s">
        <v>2352</v>
      </c>
      <c r="C1403" s="19" t="s">
        <v>774</v>
      </c>
      <c r="D1403" s="19" t="s">
        <v>775</v>
      </c>
      <c r="E1403" s="19" t="s">
        <v>784</v>
      </c>
      <c r="F1403" s="19">
        <v>0.45300000000000001</v>
      </c>
      <c r="G1403" s="43">
        <v>1733.72</v>
      </c>
    </row>
    <row r="1404" spans="1:7" x14ac:dyDescent="0.3">
      <c r="A1404" s="19">
        <v>2392</v>
      </c>
      <c r="B1404" s="19" t="s">
        <v>2353</v>
      </c>
      <c r="C1404" s="19" t="s">
        <v>774</v>
      </c>
      <c r="D1404" s="19" t="s">
        <v>778</v>
      </c>
      <c r="E1404" s="19" t="s">
        <v>784</v>
      </c>
      <c r="F1404" s="19">
        <v>0</v>
      </c>
      <c r="G1404" s="43">
        <v>1482</v>
      </c>
    </row>
    <row r="1405" spans="1:7" x14ac:dyDescent="0.3">
      <c r="A1405" s="19">
        <v>311</v>
      </c>
      <c r="B1405" s="19" t="s">
        <v>2354</v>
      </c>
      <c r="C1405" s="19" t="s">
        <v>807</v>
      </c>
      <c r="D1405" s="19" t="s">
        <v>786</v>
      </c>
      <c r="E1405" s="19" t="s">
        <v>784</v>
      </c>
      <c r="F1405" s="19">
        <v>0</v>
      </c>
      <c r="G1405" s="43">
        <v>2162.96</v>
      </c>
    </row>
    <row r="1406" spans="1:7" x14ac:dyDescent="0.3">
      <c r="A1406" s="19">
        <v>2918</v>
      </c>
      <c r="B1406" s="19" t="s">
        <v>2355</v>
      </c>
      <c r="C1406" s="19" t="s">
        <v>774</v>
      </c>
      <c r="D1406" s="19" t="s">
        <v>786</v>
      </c>
      <c r="E1406" s="19" t="s">
        <v>784</v>
      </c>
      <c r="F1406" s="19">
        <v>1</v>
      </c>
      <c r="G1406" s="43">
        <v>2162.96</v>
      </c>
    </row>
    <row r="1407" spans="1:7" x14ac:dyDescent="0.3">
      <c r="A1407" s="19">
        <v>1401</v>
      </c>
      <c r="B1407" s="19" t="s">
        <v>2356</v>
      </c>
      <c r="C1407" s="19" t="s">
        <v>774</v>
      </c>
      <c r="D1407" s="19" t="s">
        <v>775</v>
      </c>
      <c r="E1407" s="19" t="s">
        <v>784</v>
      </c>
      <c r="F1407" s="19">
        <v>0.45300000000000001</v>
      </c>
      <c r="G1407" s="43">
        <v>605</v>
      </c>
    </row>
    <row r="1408" spans="1:7" x14ac:dyDescent="0.3">
      <c r="A1408" s="19">
        <v>1994</v>
      </c>
      <c r="B1408" s="19" t="s">
        <v>2357</v>
      </c>
      <c r="C1408" s="19" t="s">
        <v>774</v>
      </c>
      <c r="D1408" s="19" t="s">
        <v>778</v>
      </c>
      <c r="E1408" s="19" t="s">
        <v>784</v>
      </c>
      <c r="F1408" s="19">
        <v>0</v>
      </c>
      <c r="G1408" s="43">
        <v>3540.22</v>
      </c>
    </row>
    <row r="1409" spans="1:7" x14ac:dyDescent="0.3">
      <c r="A1409" s="19">
        <v>287</v>
      </c>
      <c r="B1409" s="19" t="s">
        <v>2358</v>
      </c>
      <c r="C1409" s="19" t="s">
        <v>774</v>
      </c>
      <c r="D1409" s="19" t="s">
        <v>778</v>
      </c>
      <c r="E1409" s="19" t="s">
        <v>784</v>
      </c>
      <c r="F1409" s="19">
        <v>0</v>
      </c>
      <c r="G1409" s="43">
        <v>2719.48</v>
      </c>
    </row>
    <row r="1410" spans="1:7" x14ac:dyDescent="0.3">
      <c r="A1410" s="19">
        <v>1261</v>
      </c>
      <c r="B1410" s="19" t="s">
        <v>2359</v>
      </c>
      <c r="C1410" s="19" t="s">
        <v>807</v>
      </c>
      <c r="D1410" s="19" t="s">
        <v>1554</v>
      </c>
      <c r="E1410" s="19" t="s">
        <v>784</v>
      </c>
      <c r="F1410" s="19">
        <v>1</v>
      </c>
      <c r="G1410" s="43">
        <v>2150</v>
      </c>
    </row>
    <row r="1411" spans="1:7" x14ac:dyDescent="0.3">
      <c r="A1411" s="19">
        <v>1782</v>
      </c>
      <c r="B1411" s="19" t="s">
        <v>2360</v>
      </c>
      <c r="C1411" s="19" t="s">
        <v>807</v>
      </c>
      <c r="D1411" s="19" t="s">
        <v>2340</v>
      </c>
      <c r="E1411" s="19" t="s">
        <v>784</v>
      </c>
      <c r="F1411" s="19">
        <v>0</v>
      </c>
      <c r="G1411" s="43">
        <v>2200</v>
      </c>
    </row>
    <row r="1412" spans="1:7" x14ac:dyDescent="0.3">
      <c r="A1412" s="19">
        <v>360</v>
      </c>
      <c r="B1412" s="19" t="s">
        <v>2361</v>
      </c>
      <c r="C1412" s="19" t="s">
        <v>899</v>
      </c>
      <c r="D1412" s="19" t="s">
        <v>775</v>
      </c>
      <c r="E1412" s="19" t="s">
        <v>784</v>
      </c>
      <c r="F1412" s="19">
        <v>0.45300000000000001</v>
      </c>
      <c r="G1412" s="43">
        <v>1922.24</v>
      </c>
    </row>
    <row r="1413" spans="1:7" x14ac:dyDescent="0.3">
      <c r="A1413" s="19">
        <v>1343</v>
      </c>
      <c r="B1413" s="19" t="s">
        <v>2362</v>
      </c>
      <c r="C1413" s="19" t="s">
        <v>774</v>
      </c>
      <c r="D1413" s="19" t="s">
        <v>794</v>
      </c>
      <c r="E1413" s="19" t="s">
        <v>784</v>
      </c>
      <c r="F1413" s="19">
        <v>1</v>
      </c>
      <c r="G1413" s="43">
        <v>4068.5</v>
      </c>
    </row>
    <row r="1414" spans="1:7" x14ac:dyDescent="0.3">
      <c r="A1414" s="19">
        <v>519</v>
      </c>
      <c r="B1414" s="19" t="s">
        <v>2363</v>
      </c>
      <c r="C1414" s="19" t="s">
        <v>774</v>
      </c>
      <c r="D1414" s="19" t="s">
        <v>778</v>
      </c>
      <c r="E1414" s="19" t="s">
        <v>784</v>
      </c>
      <c r="F1414" s="19">
        <v>0</v>
      </c>
      <c r="G1414" s="43">
        <v>4075.99</v>
      </c>
    </row>
    <row r="1415" spans="1:7" x14ac:dyDescent="0.3">
      <c r="A1415" s="19">
        <v>2292</v>
      </c>
      <c r="B1415" s="19" t="s">
        <v>2364</v>
      </c>
      <c r="C1415" s="19" t="s">
        <v>774</v>
      </c>
      <c r="D1415" s="19" t="s">
        <v>778</v>
      </c>
      <c r="E1415" s="19" t="s">
        <v>784</v>
      </c>
      <c r="F1415" s="19">
        <v>0</v>
      </c>
      <c r="G1415" s="43">
        <v>3422.67</v>
      </c>
    </row>
    <row r="1416" spans="1:7" x14ac:dyDescent="0.3">
      <c r="A1416" s="19">
        <v>651</v>
      </c>
      <c r="B1416" s="19" t="s">
        <v>2365</v>
      </c>
      <c r="C1416" s="19" t="s">
        <v>774</v>
      </c>
      <c r="D1416" s="19" t="s">
        <v>775</v>
      </c>
      <c r="E1416" s="19" t="s">
        <v>784</v>
      </c>
      <c r="F1416" s="19">
        <v>1</v>
      </c>
      <c r="G1416" s="43">
        <v>1386.18</v>
      </c>
    </row>
    <row r="1417" spans="1:7" x14ac:dyDescent="0.3">
      <c r="A1417" s="19">
        <v>745</v>
      </c>
      <c r="B1417" s="19" t="s">
        <v>2366</v>
      </c>
      <c r="C1417" s="19" t="s">
        <v>774</v>
      </c>
      <c r="D1417" s="19" t="s">
        <v>778</v>
      </c>
      <c r="E1417" s="19" t="s">
        <v>784</v>
      </c>
      <c r="F1417" s="19">
        <v>0</v>
      </c>
      <c r="G1417" s="43">
        <v>1276.0899999999999</v>
      </c>
    </row>
    <row r="1418" spans="1:7" x14ac:dyDescent="0.3">
      <c r="A1418" s="19">
        <v>2393</v>
      </c>
      <c r="B1418" s="19" t="s">
        <v>2367</v>
      </c>
      <c r="C1418" s="19" t="s">
        <v>774</v>
      </c>
      <c r="D1418" s="19" t="s">
        <v>775</v>
      </c>
      <c r="E1418" s="19" t="s">
        <v>784</v>
      </c>
      <c r="F1418" s="19">
        <v>0</v>
      </c>
      <c r="G1418" s="43">
        <v>0</v>
      </c>
    </row>
    <row r="1419" spans="1:7" x14ac:dyDescent="0.3">
      <c r="A1419" s="19">
        <v>1774</v>
      </c>
      <c r="B1419" s="19" t="s">
        <v>2368</v>
      </c>
      <c r="C1419" s="19" t="s">
        <v>774</v>
      </c>
      <c r="D1419" s="19" t="s">
        <v>786</v>
      </c>
      <c r="E1419" s="19" t="s">
        <v>784</v>
      </c>
      <c r="F1419" s="19">
        <v>1</v>
      </c>
      <c r="G1419" s="43">
        <v>1582</v>
      </c>
    </row>
    <row r="1420" spans="1:7" x14ac:dyDescent="0.3">
      <c r="A1420" s="19">
        <v>720</v>
      </c>
      <c r="B1420" s="19" t="s">
        <v>2369</v>
      </c>
      <c r="C1420" s="19" t="s">
        <v>774</v>
      </c>
      <c r="D1420" s="19" t="s">
        <v>778</v>
      </c>
      <c r="E1420" s="19" t="s">
        <v>784</v>
      </c>
      <c r="F1420" s="19">
        <v>0</v>
      </c>
      <c r="G1420" s="43">
        <v>2326</v>
      </c>
    </row>
    <row r="1421" spans="1:7" x14ac:dyDescent="0.3">
      <c r="A1421" s="19">
        <v>2384</v>
      </c>
      <c r="B1421" s="19" t="s">
        <v>2370</v>
      </c>
      <c r="C1421" s="19" t="s">
        <v>774</v>
      </c>
      <c r="D1421" s="19" t="s">
        <v>788</v>
      </c>
      <c r="E1421" s="19" t="s">
        <v>784</v>
      </c>
      <c r="F1421" s="19">
        <v>0</v>
      </c>
      <c r="G1421" s="43">
        <v>0</v>
      </c>
    </row>
    <row r="1422" spans="1:7" x14ac:dyDescent="0.3">
      <c r="A1422" s="19">
        <v>518</v>
      </c>
      <c r="B1422" s="19" t="s">
        <v>2371</v>
      </c>
      <c r="C1422" s="19" t="s">
        <v>774</v>
      </c>
      <c r="D1422" s="19" t="s">
        <v>778</v>
      </c>
      <c r="E1422" s="19" t="s">
        <v>784</v>
      </c>
      <c r="F1422" s="19">
        <v>1</v>
      </c>
      <c r="G1422" s="43">
        <v>3333.4</v>
      </c>
    </row>
    <row r="1423" spans="1:7" x14ac:dyDescent="0.3">
      <c r="A1423" s="19">
        <v>280</v>
      </c>
      <c r="B1423" s="19" t="s">
        <v>2372</v>
      </c>
      <c r="C1423" s="19" t="s">
        <v>774</v>
      </c>
      <c r="D1423" s="19" t="s">
        <v>778</v>
      </c>
      <c r="E1423" s="19" t="s">
        <v>784</v>
      </c>
      <c r="F1423" s="19">
        <v>1</v>
      </c>
      <c r="G1423" s="43">
        <v>2190.13</v>
      </c>
    </row>
    <row r="1424" spans="1:7" x14ac:dyDescent="0.3">
      <c r="A1424" s="19">
        <v>249</v>
      </c>
      <c r="B1424" s="19" t="s">
        <v>2373</v>
      </c>
      <c r="C1424" s="19" t="s">
        <v>774</v>
      </c>
      <c r="D1424" s="19" t="s">
        <v>778</v>
      </c>
      <c r="E1424" s="19" t="s">
        <v>784</v>
      </c>
      <c r="F1424" s="19">
        <v>0</v>
      </c>
      <c r="G1424" s="43">
        <v>2386.1</v>
      </c>
    </row>
    <row r="1425" spans="1:7" x14ac:dyDescent="0.3">
      <c r="A1425" s="19">
        <v>1332</v>
      </c>
      <c r="B1425" s="19" t="s">
        <v>2374</v>
      </c>
      <c r="C1425" s="19" t="s">
        <v>774</v>
      </c>
      <c r="D1425" s="19" t="s">
        <v>775</v>
      </c>
      <c r="E1425" s="19" t="s">
        <v>784</v>
      </c>
      <c r="F1425" s="19">
        <v>0</v>
      </c>
      <c r="G1425" s="43">
        <v>2760</v>
      </c>
    </row>
    <row r="1426" spans="1:7" x14ac:dyDescent="0.3">
      <c r="A1426" s="19">
        <v>1371</v>
      </c>
      <c r="B1426" s="19" t="s">
        <v>2375</v>
      </c>
      <c r="C1426" s="19" t="s">
        <v>774</v>
      </c>
      <c r="D1426" s="19" t="s">
        <v>786</v>
      </c>
      <c r="E1426" s="19" t="s">
        <v>784</v>
      </c>
      <c r="F1426" s="19">
        <v>1</v>
      </c>
      <c r="G1426" s="43">
        <v>1426.25</v>
      </c>
    </row>
    <row r="1427" spans="1:7" x14ac:dyDescent="0.3">
      <c r="A1427" s="19">
        <v>769</v>
      </c>
      <c r="B1427" s="19" t="s">
        <v>2376</v>
      </c>
      <c r="C1427" s="19" t="s">
        <v>774</v>
      </c>
      <c r="D1427" s="19" t="s">
        <v>778</v>
      </c>
      <c r="E1427" s="19" t="s">
        <v>784</v>
      </c>
      <c r="F1427" s="19">
        <v>1</v>
      </c>
      <c r="G1427" s="43">
        <v>1898.65</v>
      </c>
    </row>
    <row r="1428" spans="1:7" x14ac:dyDescent="0.3">
      <c r="A1428" s="19">
        <v>253</v>
      </c>
      <c r="B1428" s="19" t="s">
        <v>2377</v>
      </c>
      <c r="C1428" s="19" t="s">
        <v>774</v>
      </c>
      <c r="D1428" s="19" t="s">
        <v>778</v>
      </c>
      <c r="E1428" s="19" t="s">
        <v>784</v>
      </c>
      <c r="F1428" s="19">
        <v>0</v>
      </c>
      <c r="G1428" s="43">
        <v>7703.34</v>
      </c>
    </row>
    <row r="1429" spans="1:7" x14ac:dyDescent="0.3">
      <c r="A1429" s="19">
        <v>368</v>
      </c>
      <c r="B1429" s="19" t="s">
        <v>2378</v>
      </c>
      <c r="C1429" s="19" t="s">
        <v>899</v>
      </c>
      <c r="D1429" s="19" t="s">
        <v>775</v>
      </c>
      <c r="E1429" s="19" t="s">
        <v>784</v>
      </c>
      <c r="F1429" s="19">
        <v>0.45300000000000001</v>
      </c>
      <c r="G1429" s="43">
        <v>2822</v>
      </c>
    </row>
    <row r="1430" spans="1:7" x14ac:dyDescent="0.3">
      <c r="A1430" s="19">
        <v>511</v>
      </c>
      <c r="B1430" s="19" t="s">
        <v>2379</v>
      </c>
      <c r="C1430" s="19" t="s">
        <v>774</v>
      </c>
      <c r="D1430" s="19" t="s">
        <v>2380</v>
      </c>
      <c r="E1430" s="19" t="s">
        <v>784</v>
      </c>
      <c r="F1430" s="19">
        <v>5</v>
      </c>
      <c r="G1430" s="43">
        <v>78</v>
      </c>
    </row>
    <row r="1431" spans="1:7" x14ac:dyDescent="0.3">
      <c r="A1431" s="19">
        <v>2009</v>
      </c>
      <c r="B1431" s="19" t="s">
        <v>2381</v>
      </c>
      <c r="C1431" s="19" t="s">
        <v>774</v>
      </c>
      <c r="D1431" s="19" t="s">
        <v>2382</v>
      </c>
      <c r="E1431" s="19" t="s">
        <v>877</v>
      </c>
      <c r="F1431" s="19">
        <v>0</v>
      </c>
      <c r="G1431" s="43">
        <v>132.9</v>
      </c>
    </row>
    <row r="1432" spans="1:7" x14ac:dyDescent="0.3">
      <c r="A1432" s="19">
        <v>2013</v>
      </c>
      <c r="B1432" s="19" t="s">
        <v>2383</v>
      </c>
      <c r="C1432" s="19" t="s">
        <v>774</v>
      </c>
      <c r="D1432" s="19" t="s">
        <v>2382</v>
      </c>
      <c r="E1432" s="19" t="s">
        <v>877</v>
      </c>
      <c r="F1432" s="19">
        <v>1</v>
      </c>
      <c r="G1432" s="43">
        <v>137</v>
      </c>
    </row>
    <row r="1433" spans="1:7" x14ac:dyDescent="0.3">
      <c r="A1433" s="19">
        <v>2015</v>
      </c>
      <c r="B1433" s="19" t="s">
        <v>2384</v>
      </c>
      <c r="C1433" s="19" t="s">
        <v>774</v>
      </c>
      <c r="D1433" s="19" t="s">
        <v>2385</v>
      </c>
      <c r="E1433" s="19" t="s">
        <v>877</v>
      </c>
      <c r="F1433" s="19">
        <v>0</v>
      </c>
      <c r="G1433" s="43">
        <v>50</v>
      </c>
    </row>
    <row r="1434" spans="1:7" x14ac:dyDescent="0.3">
      <c r="A1434" s="19">
        <v>355</v>
      </c>
      <c r="B1434" s="19" t="s">
        <v>2386</v>
      </c>
      <c r="C1434" s="19" t="s">
        <v>899</v>
      </c>
      <c r="D1434" s="19" t="s">
        <v>2387</v>
      </c>
      <c r="E1434" s="19" t="s">
        <v>877</v>
      </c>
      <c r="F1434" s="19">
        <v>4</v>
      </c>
      <c r="G1434" s="43">
        <v>818.53</v>
      </c>
    </row>
    <row r="1435" spans="1:7" x14ac:dyDescent="0.3">
      <c r="A1435" s="19">
        <v>3833</v>
      </c>
      <c r="B1435" s="19" t="s">
        <v>2388</v>
      </c>
      <c r="C1435" s="19" t="s">
        <v>774</v>
      </c>
      <c r="D1435" s="19" t="s">
        <v>775</v>
      </c>
      <c r="E1435" s="19" t="s">
        <v>877</v>
      </c>
      <c r="F1435" s="19">
        <v>1</v>
      </c>
      <c r="G1435" s="43">
        <v>1013.24</v>
      </c>
    </row>
    <row r="1436" spans="1:7" x14ac:dyDescent="0.3">
      <c r="A1436" s="19">
        <v>1773</v>
      </c>
      <c r="B1436" s="19" t="s">
        <v>2389</v>
      </c>
      <c r="C1436" s="19" t="s">
        <v>774</v>
      </c>
      <c r="D1436" s="19" t="s">
        <v>2382</v>
      </c>
      <c r="E1436" s="19" t="s">
        <v>877</v>
      </c>
      <c r="F1436" s="19">
        <v>0</v>
      </c>
      <c r="G1436" s="43">
        <v>84</v>
      </c>
    </row>
    <row r="1437" spans="1:7" x14ac:dyDescent="0.3">
      <c r="A1437" s="19">
        <v>10</v>
      </c>
      <c r="B1437" s="19" t="s">
        <v>2390</v>
      </c>
      <c r="C1437" s="19" t="s">
        <v>774</v>
      </c>
      <c r="D1437" s="19" t="s">
        <v>2391</v>
      </c>
      <c r="E1437" s="19" t="s">
        <v>877</v>
      </c>
      <c r="F1437" s="19">
        <v>0</v>
      </c>
      <c r="G1437" s="43">
        <v>12.5</v>
      </c>
    </row>
    <row r="1438" spans="1:7" x14ac:dyDescent="0.3">
      <c r="A1438" s="19">
        <v>4006</v>
      </c>
      <c r="B1438" s="19" t="s">
        <v>2392</v>
      </c>
      <c r="C1438" s="19" t="s">
        <v>774</v>
      </c>
      <c r="D1438" s="19" t="s">
        <v>1670</v>
      </c>
      <c r="E1438" s="19" t="s">
        <v>877</v>
      </c>
      <c r="F1438" s="19">
        <v>1</v>
      </c>
      <c r="G1438" s="43">
        <v>561.5</v>
      </c>
    </row>
    <row r="1439" spans="1:7" x14ac:dyDescent="0.3">
      <c r="A1439" s="19">
        <v>2021</v>
      </c>
      <c r="B1439" s="19" t="s">
        <v>2393</v>
      </c>
      <c r="C1439" s="19" t="s">
        <v>807</v>
      </c>
      <c r="D1439" s="19" t="s">
        <v>2394</v>
      </c>
      <c r="E1439" s="19" t="s">
        <v>877</v>
      </c>
      <c r="F1439" s="19">
        <v>0</v>
      </c>
      <c r="G1439" s="43">
        <v>141</v>
      </c>
    </row>
    <row r="1440" spans="1:7" x14ac:dyDescent="0.3">
      <c r="A1440" s="19">
        <v>1768</v>
      </c>
      <c r="B1440" s="19" t="s">
        <v>2395</v>
      </c>
      <c r="C1440" s="19" t="s">
        <v>774</v>
      </c>
      <c r="D1440" s="19" t="s">
        <v>2396</v>
      </c>
      <c r="E1440" s="19" t="s">
        <v>877</v>
      </c>
      <c r="F1440" s="19">
        <v>0</v>
      </c>
      <c r="G1440" s="43">
        <v>50</v>
      </c>
    </row>
    <row r="1441" spans="1:7" x14ac:dyDescent="0.3">
      <c r="A1441" s="19">
        <v>356</v>
      </c>
      <c r="B1441" s="19" t="s">
        <v>2397</v>
      </c>
      <c r="C1441" s="19" t="s">
        <v>899</v>
      </c>
      <c r="D1441" s="19" t="s">
        <v>775</v>
      </c>
      <c r="E1441" s="19" t="s">
        <v>815</v>
      </c>
      <c r="F1441" s="19">
        <v>0</v>
      </c>
      <c r="G1441" s="43">
        <v>456.41</v>
      </c>
    </row>
    <row r="1442" spans="1:7" x14ac:dyDescent="0.3">
      <c r="A1442" s="19">
        <v>1407</v>
      </c>
      <c r="B1442" s="19" t="s">
        <v>2398</v>
      </c>
      <c r="C1442" s="19" t="s">
        <v>807</v>
      </c>
      <c r="D1442" s="19" t="s">
        <v>2399</v>
      </c>
      <c r="E1442" s="19" t="s">
        <v>815</v>
      </c>
      <c r="F1442" s="19">
        <v>200</v>
      </c>
      <c r="G1442" s="43">
        <v>11.3</v>
      </c>
    </row>
    <row r="1443" spans="1:7" x14ac:dyDescent="0.3">
      <c r="A1443" s="19">
        <v>1821</v>
      </c>
      <c r="B1443" s="19" t="s">
        <v>2400</v>
      </c>
      <c r="C1443" s="19" t="s">
        <v>774</v>
      </c>
      <c r="D1443" s="19" t="s">
        <v>1617</v>
      </c>
      <c r="E1443" s="19" t="s">
        <v>877</v>
      </c>
      <c r="F1443" s="19">
        <v>0</v>
      </c>
      <c r="G1443" s="43">
        <v>93.68</v>
      </c>
    </row>
    <row r="1444" spans="1:7" x14ac:dyDescent="0.3">
      <c r="A1444" s="19">
        <v>1822</v>
      </c>
      <c r="B1444" s="19" t="s">
        <v>2401</v>
      </c>
      <c r="C1444" s="19" t="s">
        <v>774</v>
      </c>
      <c r="D1444" s="19" t="s">
        <v>1774</v>
      </c>
      <c r="E1444" s="19" t="s">
        <v>815</v>
      </c>
      <c r="F1444" s="19">
        <v>10</v>
      </c>
      <c r="G1444" s="43">
        <v>190.62</v>
      </c>
    </row>
    <row r="1445" spans="1:7" x14ac:dyDescent="0.3">
      <c r="A1445" s="19">
        <v>2131</v>
      </c>
      <c r="B1445" s="19" t="s">
        <v>2402</v>
      </c>
      <c r="C1445" s="19" t="s">
        <v>774</v>
      </c>
      <c r="D1445" s="19" t="s">
        <v>2403</v>
      </c>
      <c r="E1445" s="19" t="s">
        <v>877</v>
      </c>
      <c r="F1445" s="19">
        <v>0</v>
      </c>
      <c r="G1445" s="43">
        <v>25</v>
      </c>
    </row>
    <row r="1446" spans="1:7" x14ac:dyDescent="0.3">
      <c r="A1446" s="19">
        <v>1374</v>
      </c>
      <c r="B1446" s="19" t="s">
        <v>2404</v>
      </c>
      <c r="C1446" s="19" t="s">
        <v>807</v>
      </c>
      <c r="D1446" s="19" t="s">
        <v>2399</v>
      </c>
      <c r="E1446" s="19" t="s">
        <v>815</v>
      </c>
      <c r="F1446" s="19">
        <v>200</v>
      </c>
      <c r="G1446" s="43">
        <v>17.3</v>
      </c>
    </row>
    <row r="1447" spans="1:7" x14ac:dyDescent="0.3">
      <c r="A1447" s="19">
        <v>1849</v>
      </c>
      <c r="B1447" s="19" t="s">
        <v>2405</v>
      </c>
      <c r="C1447" s="19" t="s">
        <v>774</v>
      </c>
      <c r="D1447" s="19" t="s">
        <v>2382</v>
      </c>
      <c r="E1447" s="19" t="s">
        <v>815</v>
      </c>
      <c r="F1447" s="19">
        <v>2</v>
      </c>
      <c r="G1447" s="43">
        <v>48</v>
      </c>
    </row>
    <row r="1448" spans="1:7" x14ac:dyDescent="0.3">
      <c r="A1448" s="19">
        <v>1772</v>
      </c>
      <c r="B1448" s="19" t="s">
        <v>2406</v>
      </c>
      <c r="C1448" s="19" t="s">
        <v>774</v>
      </c>
      <c r="D1448" s="19" t="s">
        <v>2407</v>
      </c>
      <c r="E1448" s="19" t="s">
        <v>815</v>
      </c>
      <c r="F1448" s="19">
        <v>20</v>
      </c>
      <c r="G1448" s="43">
        <v>38</v>
      </c>
    </row>
    <row r="1449" spans="1:7" x14ac:dyDescent="0.3">
      <c r="A1449" s="19">
        <v>2038</v>
      </c>
      <c r="B1449" s="19" t="s">
        <v>2408</v>
      </c>
      <c r="C1449" s="19" t="s">
        <v>774</v>
      </c>
      <c r="D1449" s="19" t="s">
        <v>2382</v>
      </c>
      <c r="E1449" s="19" t="s">
        <v>877</v>
      </c>
      <c r="F1449" s="19">
        <v>0</v>
      </c>
      <c r="G1449" s="43">
        <v>141.84</v>
      </c>
    </row>
    <row r="1450" spans="1:7" x14ac:dyDescent="0.3">
      <c r="A1450" s="19">
        <v>1954</v>
      </c>
      <c r="B1450" s="19" t="s">
        <v>2409</v>
      </c>
      <c r="C1450" s="19" t="s">
        <v>774</v>
      </c>
      <c r="D1450" s="19" t="s">
        <v>2410</v>
      </c>
      <c r="E1450" s="19" t="s">
        <v>815</v>
      </c>
      <c r="F1450" s="19">
        <v>185</v>
      </c>
      <c r="G1450" s="43">
        <v>15.6</v>
      </c>
    </row>
    <row r="1451" spans="1:7" x14ac:dyDescent="0.3">
      <c r="A1451" s="19">
        <v>537</v>
      </c>
      <c r="B1451" s="19" t="s">
        <v>2411</v>
      </c>
      <c r="C1451" s="19" t="s">
        <v>899</v>
      </c>
      <c r="D1451" s="19" t="s">
        <v>2412</v>
      </c>
      <c r="E1451" s="19" t="s">
        <v>815</v>
      </c>
      <c r="F1451" s="19">
        <v>5</v>
      </c>
      <c r="G1451" s="43">
        <v>149.88</v>
      </c>
    </row>
    <row r="1452" spans="1:7" x14ac:dyDescent="0.3">
      <c r="A1452" s="19">
        <v>1556</v>
      </c>
      <c r="B1452" s="19" t="s">
        <v>2413</v>
      </c>
      <c r="C1452" s="19" t="s">
        <v>807</v>
      </c>
      <c r="D1452" s="19" t="s">
        <v>2414</v>
      </c>
      <c r="E1452" s="19" t="s">
        <v>2415</v>
      </c>
      <c r="F1452" s="19">
        <v>5</v>
      </c>
      <c r="G1452" s="43">
        <v>302.06</v>
      </c>
    </row>
    <row r="1453" spans="1:7" x14ac:dyDescent="0.3">
      <c r="A1453" s="19">
        <v>1848</v>
      </c>
      <c r="B1453" s="19" t="s">
        <v>2416</v>
      </c>
      <c r="C1453" s="19" t="s">
        <v>807</v>
      </c>
      <c r="D1453" s="19" t="s">
        <v>2394</v>
      </c>
      <c r="E1453" s="19" t="s">
        <v>877</v>
      </c>
      <c r="F1453" s="19">
        <v>0</v>
      </c>
      <c r="G1453" s="43">
        <v>29</v>
      </c>
    </row>
    <row r="1454" spans="1:7" x14ac:dyDescent="0.3">
      <c r="A1454" s="19">
        <v>1368</v>
      </c>
      <c r="B1454" s="19" t="s">
        <v>2417</v>
      </c>
      <c r="C1454" s="19" t="s">
        <v>774</v>
      </c>
      <c r="D1454" s="19" t="s">
        <v>1774</v>
      </c>
      <c r="E1454" s="19" t="s">
        <v>815</v>
      </c>
      <c r="F1454" s="19">
        <v>5</v>
      </c>
      <c r="G1454" s="43">
        <v>487.33</v>
      </c>
    </row>
    <row r="1455" spans="1:7" x14ac:dyDescent="0.3">
      <c r="A1455" s="19">
        <v>281</v>
      </c>
      <c r="B1455" s="19" t="s">
        <v>2418</v>
      </c>
      <c r="C1455" s="19" t="s">
        <v>774</v>
      </c>
      <c r="D1455" s="19" t="s">
        <v>778</v>
      </c>
      <c r="E1455" s="19" t="s">
        <v>877</v>
      </c>
      <c r="F1455" s="19">
        <v>0</v>
      </c>
      <c r="G1455" s="43">
        <v>303.45999999999998</v>
      </c>
    </row>
    <row r="1456" spans="1:7" x14ac:dyDescent="0.3">
      <c r="A1456" s="19">
        <v>2338</v>
      </c>
      <c r="B1456" s="19" t="s">
        <v>2419</v>
      </c>
      <c r="C1456" s="19" t="s">
        <v>774</v>
      </c>
      <c r="D1456" s="19" t="s">
        <v>2420</v>
      </c>
      <c r="E1456" s="19" t="s">
        <v>877</v>
      </c>
      <c r="F1456" s="19">
        <v>0</v>
      </c>
      <c r="G1456" s="43">
        <v>102.92</v>
      </c>
    </row>
    <row r="1457" spans="1:7" x14ac:dyDescent="0.3">
      <c r="A1457" s="19">
        <v>2484</v>
      </c>
      <c r="B1457" s="19" t="s">
        <v>2421</v>
      </c>
      <c r="C1457" s="19" t="s">
        <v>774</v>
      </c>
      <c r="D1457" s="19" t="s">
        <v>2382</v>
      </c>
      <c r="E1457" s="19" t="s">
        <v>877</v>
      </c>
      <c r="F1457" s="19">
        <v>12</v>
      </c>
      <c r="G1457" s="43">
        <v>293.3</v>
      </c>
    </row>
    <row r="1458" spans="1:7" x14ac:dyDescent="0.3">
      <c r="A1458" s="19">
        <v>1253</v>
      </c>
      <c r="B1458" s="19" t="s">
        <v>2422</v>
      </c>
      <c r="C1458" s="19" t="s">
        <v>807</v>
      </c>
      <c r="D1458" s="19" t="s">
        <v>2423</v>
      </c>
      <c r="E1458" s="19" t="s">
        <v>784</v>
      </c>
      <c r="F1458" s="19">
        <v>1</v>
      </c>
      <c r="G1458" s="43">
        <v>1400</v>
      </c>
    </row>
    <row r="1459" spans="1:7" x14ac:dyDescent="0.3">
      <c r="A1459" s="19">
        <v>384</v>
      </c>
      <c r="B1459" s="19" t="s">
        <v>2424</v>
      </c>
      <c r="C1459" s="19" t="s">
        <v>807</v>
      </c>
      <c r="D1459" s="19" t="s">
        <v>2423</v>
      </c>
      <c r="E1459" s="19" t="s">
        <v>784</v>
      </c>
      <c r="F1459" s="19">
        <v>1</v>
      </c>
      <c r="G1459" s="43">
        <v>1400</v>
      </c>
    </row>
    <row r="1460" spans="1:7" x14ac:dyDescent="0.3">
      <c r="A1460" s="19">
        <v>1402</v>
      </c>
      <c r="B1460" s="19" t="s">
        <v>2425</v>
      </c>
      <c r="C1460" s="19" t="s">
        <v>774</v>
      </c>
      <c r="D1460" s="19" t="s">
        <v>775</v>
      </c>
      <c r="E1460" s="19" t="s">
        <v>784</v>
      </c>
      <c r="F1460" s="19">
        <v>0</v>
      </c>
      <c r="G1460" s="43">
        <v>440</v>
      </c>
    </row>
    <row r="1461" spans="1:7" x14ac:dyDescent="0.3">
      <c r="A1461" s="19">
        <v>1256</v>
      </c>
      <c r="B1461" s="19" t="s">
        <v>2426</v>
      </c>
      <c r="C1461" s="19" t="s">
        <v>807</v>
      </c>
      <c r="D1461" s="19" t="s">
        <v>808</v>
      </c>
      <c r="E1461" s="19" t="s">
        <v>784</v>
      </c>
      <c r="F1461" s="19">
        <v>0</v>
      </c>
      <c r="G1461" s="43">
        <v>550</v>
      </c>
    </row>
    <row r="1462" spans="1:7" x14ac:dyDescent="0.3">
      <c r="A1462" s="19">
        <v>1223</v>
      </c>
      <c r="B1462" s="19" t="s">
        <v>2427</v>
      </c>
      <c r="C1462" s="19" t="s">
        <v>774</v>
      </c>
      <c r="D1462" s="19" t="s">
        <v>778</v>
      </c>
      <c r="E1462" s="19" t="s">
        <v>2428</v>
      </c>
      <c r="F1462" s="19">
        <v>0</v>
      </c>
      <c r="G1462" s="43">
        <v>4099.72</v>
      </c>
    </row>
    <row r="1463" spans="1:7" x14ac:dyDescent="0.3">
      <c r="A1463" s="19">
        <v>379</v>
      </c>
      <c r="B1463" s="19" t="s">
        <v>2429</v>
      </c>
      <c r="C1463" s="19" t="s">
        <v>774</v>
      </c>
      <c r="D1463" s="19" t="s">
        <v>2430</v>
      </c>
      <c r="E1463" s="19" t="s">
        <v>815</v>
      </c>
      <c r="F1463" s="19">
        <v>8</v>
      </c>
      <c r="G1463" s="43">
        <v>120</v>
      </c>
    </row>
    <row r="1464" spans="1:7" x14ac:dyDescent="0.3">
      <c r="A1464" s="19">
        <v>1770</v>
      </c>
      <c r="B1464" s="19" t="s">
        <v>2431</v>
      </c>
      <c r="C1464" s="19" t="s">
        <v>774</v>
      </c>
      <c r="D1464" s="19" t="s">
        <v>2265</v>
      </c>
      <c r="E1464" s="19" t="s">
        <v>2432</v>
      </c>
      <c r="F1464" s="19">
        <v>0</v>
      </c>
      <c r="G1464" s="43">
        <v>90</v>
      </c>
    </row>
    <row r="1465" spans="1:7" x14ac:dyDescent="0.3">
      <c r="A1465" s="19">
        <v>774</v>
      </c>
      <c r="B1465" s="19" t="s">
        <v>2433</v>
      </c>
      <c r="C1465" s="19" t="s">
        <v>774</v>
      </c>
      <c r="D1465" s="19" t="s">
        <v>778</v>
      </c>
      <c r="E1465" s="19" t="s">
        <v>2428</v>
      </c>
      <c r="F1465" s="19">
        <v>0</v>
      </c>
      <c r="G1465" s="43">
        <v>1426.85</v>
      </c>
    </row>
    <row r="1466" spans="1:7" x14ac:dyDescent="0.3">
      <c r="A1466" s="19">
        <v>1481</v>
      </c>
      <c r="B1466" s="19" t="s">
        <v>2434</v>
      </c>
      <c r="C1466" s="19" t="s">
        <v>774</v>
      </c>
      <c r="D1466" s="19" t="s">
        <v>794</v>
      </c>
      <c r="E1466" s="19" t="s">
        <v>815</v>
      </c>
      <c r="F1466" s="19">
        <v>1</v>
      </c>
      <c r="G1466" s="43">
        <v>2161.9499999999998</v>
      </c>
    </row>
    <row r="1467" spans="1:7" x14ac:dyDescent="0.3">
      <c r="A1467" s="19">
        <v>378</v>
      </c>
      <c r="B1467" s="19" t="s">
        <v>2435</v>
      </c>
      <c r="C1467" s="19" t="s">
        <v>774</v>
      </c>
      <c r="D1467" s="19" t="s">
        <v>2436</v>
      </c>
      <c r="E1467" s="19" t="s">
        <v>2428</v>
      </c>
      <c r="F1467" s="19">
        <v>0</v>
      </c>
      <c r="G1467" s="43">
        <v>734.94</v>
      </c>
    </row>
    <row r="1468" spans="1:7" x14ac:dyDescent="0.3">
      <c r="A1468" s="19">
        <v>1771</v>
      </c>
      <c r="B1468" s="19" t="s">
        <v>2437</v>
      </c>
      <c r="C1468" s="19" t="s">
        <v>774</v>
      </c>
      <c r="D1468" s="19" t="s">
        <v>2430</v>
      </c>
      <c r="E1468" s="19" t="s">
        <v>2428</v>
      </c>
      <c r="F1468" s="19">
        <v>10</v>
      </c>
      <c r="G1468" s="43">
        <v>285</v>
      </c>
    </row>
    <row r="1469" spans="1:7" x14ac:dyDescent="0.3">
      <c r="A1469" s="19">
        <v>401</v>
      </c>
      <c r="B1469" s="19" t="s">
        <v>2438</v>
      </c>
      <c r="C1469" s="19" t="s">
        <v>774</v>
      </c>
      <c r="D1469" s="19" t="s">
        <v>775</v>
      </c>
      <c r="E1469" s="19" t="s">
        <v>2428</v>
      </c>
      <c r="F1469" s="19">
        <v>0</v>
      </c>
      <c r="G1469" s="43">
        <v>105.67</v>
      </c>
    </row>
    <row r="1470" spans="1:7" x14ac:dyDescent="0.3">
      <c r="A1470" s="19">
        <v>26</v>
      </c>
      <c r="B1470" s="19" t="s">
        <v>2439</v>
      </c>
      <c r="C1470" s="19" t="s">
        <v>774</v>
      </c>
      <c r="D1470" s="19" t="s">
        <v>2440</v>
      </c>
      <c r="E1470" s="19" t="s">
        <v>815</v>
      </c>
      <c r="F1470" s="19">
        <v>0</v>
      </c>
      <c r="G1470" s="43">
        <v>40.700000000000003</v>
      </c>
    </row>
    <row r="1471" spans="1:7" x14ac:dyDescent="0.3">
      <c r="A1471" s="19">
        <v>431</v>
      </c>
      <c r="B1471" s="19" t="s">
        <v>2441</v>
      </c>
      <c r="C1471" s="19" t="s">
        <v>774</v>
      </c>
      <c r="D1471" s="19" t="s">
        <v>847</v>
      </c>
      <c r="E1471" s="19" t="s">
        <v>815</v>
      </c>
      <c r="F1471" s="19">
        <v>0</v>
      </c>
      <c r="G1471" s="43">
        <v>21.4</v>
      </c>
    </row>
    <row r="1472" spans="1:7" x14ac:dyDescent="0.3">
      <c r="A1472" s="19">
        <v>3996</v>
      </c>
      <c r="B1472" s="19" t="s">
        <v>2442</v>
      </c>
      <c r="C1472" s="19" t="s">
        <v>2443</v>
      </c>
      <c r="D1472" s="19" t="s">
        <v>1217</v>
      </c>
      <c r="E1472" s="19" t="s">
        <v>901</v>
      </c>
      <c r="F1472" s="19">
        <v>0</v>
      </c>
      <c r="G1472" s="43">
        <v>60</v>
      </c>
    </row>
    <row r="1473" spans="1:7" x14ac:dyDescent="0.3">
      <c r="A1473" s="19">
        <v>2036</v>
      </c>
      <c r="B1473" s="19" t="s">
        <v>2444</v>
      </c>
      <c r="C1473" s="19" t="s">
        <v>899</v>
      </c>
      <c r="D1473" s="19" t="s">
        <v>939</v>
      </c>
      <c r="E1473" s="19" t="s">
        <v>815</v>
      </c>
      <c r="F1473" s="19">
        <v>0</v>
      </c>
      <c r="G1473" s="43">
        <v>3.08</v>
      </c>
    </row>
    <row r="1474" spans="1:7" x14ac:dyDescent="0.3">
      <c r="A1474" s="19">
        <v>3030</v>
      </c>
      <c r="B1474" s="19" t="s">
        <v>2445</v>
      </c>
      <c r="C1474" s="19" t="s">
        <v>899</v>
      </c>
      <c r="D1474" s="19" t="s">
        <v>1414</v>
      </c>
      <c r="E1474" s="19" t="s">
        <v>815</v>
      </c>
      <c r="F1474" s="19">
        <v>0</v>
      </c>
      <c r="G1474" s="43">
        <v>4.3099999999999996</v>
      </c>
    </row>
    <row r="1475" spans="1:7" x14ac:dyDescent="0.3">
      <c r="A1475" s="19">
        <v>1599</v>
      </c>
      <c r="B1475" s="19" t="s">
        <v>2446</v>
      </c>
      <c r="C1475" s="19" t="s">
        <v>899</v>
      </c>
      <c r="D1475" s="19" t="s">
        <v>939</v>
      </c>
      <c r="E1475" s="19" t="s">
        <v>815</v>
      </c>
      <c r="F1475" s="19">
        <v>0</v>
      </c>
      <c r="G1475" s="43">
        <v>6.81</v>
      </c>
    </row>
    <row r="1476" spans="1:7" x14ac:dyDescent="0.3">
      <c r="A1476" s="19">
        <v>3416</v>
      </c>
      <c r="B1476" s="19" t="s">
        <v>2447</v>
      </c>
      <c r="C1476" s="19" t="s">
        <v>899</v>
      </c>
      <c r="D1476" s="19" t="s">
        <v>939</v>
      </c>
      <c r="E1476" s="19" t="s">
        <v>815</v>
      </c>
      <c r="F1476" s="19">
        <v>0</v>
      </c>
      <c r="G1476" s="43">
        <v>2.58</v>
      </c>
    </row>
    <row r="1477" spans="1:7" x14ac:dyDescent="0.3">
      <c r="A1477" s="19">
        <v>3690</v>
      </c>
      <c r="B1477" s="19" t="s">
        <v>2448</v>
      </c>
      <c r="C1477" s="19" t="s">
        <v>899</v>
      </c>
      <c r="D1477" s="19" t="s">
        <v>939</v>
      </c>
      <c r="E1477" s="19" t="s">
        <v>815</v>
      </c>
      <c r="F1477" s="19">
        <v>0</v>
      </c>
      <c r="G1477" s="43">
        <v>6.98</v>
      </c>
    </row>
    <row r="1478" spans="1:7" x14ac:dyDescent="0.3">
      <c r="A1478" s="19">
        <v>2957</v>
      </c>
      <c r="B1478" s="19" t="s">
        <v>2449</v>
      </c>
      <c r="C1478" s="19" t="s">
        <v>899</v>
      </c>
      <c r="D1478" s="19" t="s">
        <v>939</v>
      </c>
      <c r="E1478" s="19" t="s">
        <v>815</v>
      </c>
      <c r="F1478" s="19">
        <v>0</v>
      </c>
      <c r="G1478" s="43">
        <v>5.8</v>
      </c>
    </row>
    <row r="1479" spans="1:7" x14ac:dyDescent="0.3">
      <c r="A1479" s="19">
        <v>2889</v>
      </c>
      <c r="B1479" s="19" t="s">
        <v>2450</v>
      </c>
      <c r="C1479" s="19" t="s">
        <v>899</v>
      </c>
      <c r="D1479" s="19" t="s">
        <v>939</v>
      </c>
      <c r="E1479" s="19" t="s">
        <v>1330</v>
      </c>
      <c r="F1479" s="19">
        <v>0</v>
      </c>
      <c r="G1479" s="43">
        <v>6.81</v>
      </c>
    </row>
    <row r="1480" spans="1:7" x14ac:dyDescent="0.3">
      <c r="A1480" s="19">
        <v>2900</v>
      </c>
      <c r="B1480" s="19" t="s">
        <v>2451</v>
      </c>
      <c r="C1480" s="19" t="s">
        <v>899</v>
      </c>
      <c r="D1480" s="19" t="s">
        <v>939</v>
      </c>
      <c r="E1480" s="19" t="s">
        <v>815</v>
      </c>
      <c r="F1480" s="19">
        <v>0</v>
      </c>
      <c r="G1480" s="43">
        <v>10.039999999999999</v>
      </c>
    </row>
    <row r="1481" spans="1:7" x14ac:dyDescent="0.3">
      <c r="A1481" s="19">
        <v>3611</v>
      </c>
      <c r="B1481" s="19" t="s">
        <v>2452</v>
      </c>
      <c r="C1481" s="19" t="s">
        <v>899</v>
      </c>
      <c r="D1481" s="19" t="s">
        <v>1341</v>
      </c>
      <c r="E1481" s="19" t="s">
        <v>815</v>
      </c>
      <c r="F1481" s="19">
        <v>0</v>
      </c>
      <c r="G1481" s="43">
        <v>5.99</v>
      </c>
    </row>
    <row r="1482" spans="1:7" x14ac:dyDescent="0.3">
      <c r="A1482" s="19">
        <v>2983</v>
      </c>
      <c r="B1482" s="19" t="s">
        <v>2453</v>
      </c>
      <c r="C1482" s="19" t="s">
        <v>899</v>
      </c>
      <c r="D1482" s="19" t="s">
        <v>1414</v>
      </c>
      <c r="E1482" s="19" t="s">
        <v>815</v>
      </c>
      <c r="F1482" s="19">
        <v>0</v>
      </c>
      <c r="G1482" s="43">
        <v>3.41</v>
      </c>
    </row>
    <row r="1483" spans="1:7" x14ac:dyDescent="0.3">
      <c r="A1483" s="19">
        <v>2112</v>
      </c>
      <c r="B1483" s="19" t="s">
        <v>2454</v>
      </c>
      <c r="C1483" s="19" t="s">
        <v>899</v>
      </c>
      <c r="D1483" s="19" t="s">
        <v>939</v>
      </c>
      <c r="E1483" s="19" t="s">
        <v>815</v>
      </c>
      <c r="F1483" s="19">
        <v>0</v>
      </c>
      <c r="G1483" s="43">
        <v>3.99</v>
      </c>
    </row>
    <row r="1484" spans="1:7" x14ac:dyDescent="0.3">
      <c r="A1484" s="19">
        <v>2958</v>
      </c>
      <c r="B1484" s="19" t="s">
        <v>2455</v>
      </c>
      <c r="C1484" s="19" t="s">
        <v>899</v>
      </c>
      <c r="D1484" s="19" t="s">
        <v>939</v>
      </c>
      <c r="E1484" s="19" t="s">
        <v>815</v>
      </c>
      <c r="F1484" s="19">
        <v>0</v>
      </c>
      <c r="G1484" s="43">
        <v>7.09</v>
      </c>
    </row>
    <row r="1485" spans="1:7" x14ac:dyDescent="0.3">
      <c r="A1485" s="19">
        <v>1440</v>
      </c>
      <c r="B1485" s="19" t="s">
        <v>2456</v>
      </c>
      <c r="C1485" s="19" t="s">
        <v>774</v>
      </c>
      <c r="D1485" s="19" t="s">
        <v>2134</v>
      </c>
      <c r="E1485" s="19" t="s">
        <v>815</v>
      </c>
      <c r="F1485" s="19">
        <v>0</v>
      </c>
      <c r="G1485" s="43">
        <v>3352.57</v>
      </c>
    </row>
    <row r="1486" spans="1:7" x14ac:dyDescent="0.3">
      <c r="A1486" s="19">
        <v>696</v>
      </c>
      <c r="B1486" s="19" t="s">
        <v>2457</v>
      </c>
      <c r="C1486" s="19" t="s">
        <v>774</v>
      </c>
      <c r="D1486" s="19" t="s">
        <v>2458</v>
      </c>
      <c r="E1486" s="19" t="s">
        <v>815</v>
      </c>
      <c r="F1486" s="19">
        <v>0</v>
      </c>
      <c r="G1486" s="43">
        <v>1</v>
      </c>
    </row>
    <row r="1487" spans="1:7" x14ac:dyDescent="0.3">
      <c r="A1487" s="19">
        <v>3696</v>
      </c>
      <c r="B1487" s="19" t="s">
        <v>2459</v>
      </c>
      <c r="C1487" s="19" t="s">
        <v>899</v>
      </c>
      <c r="D1487" s="19" t="s">
        <v>939</v>
      </c>
      <c r="E1487" s="19" t="s">
        <v>2460</v>
      </c>
      <c r="F1487" s="19">
        <v>0</v>
      </c>
      <c r="G1487" s="43">
        <v>6.94</v>
      </c>
    </row>
    <row r="1488" spans="1:7" x14ac:dyDescent="0.3">
      <c r="A1488" s="19">
        <v>3697</v>
      </c>
      <c r="B1488" s="19" t="s">
        <v>2461</v>
      </c>
      <c r="C1488" s="19" t="s">
        <v>899</v>
      </c>
      <c r="D1488" s="19" t="s">
        <v>939</v>
      </c>
      <c r="E1488" s="19" t="s">
        <v>2460</v>
      </c>
      <c r="F1488" s="19">
        <v>0</v>
      </c>
      <c r="G1488" s="43">
        <v>6.09</v>
      </c>
    </row>
    <row r="1489" spans="1:7" x14ac:dyDescent="0.3">
      <c r="A1489" s="19">
        <v>3698</v>
      </c>
      <c r="B1489" s="19" t="s">
        <v>2462</v>
      </c>
      <c r="C1489" s="19" t="s">
        <v>899</v>
      </c>
      <c r="D1489" s="19" t="s">
        <v>939</v>
      </c>
      <c r="E1489" s="19" t="s">
        <v>2460</v>
      </c>
      <c r="F1489" s="19">
        <v>0</v>
      </c>
      <c r="G1489" s="43">
        <v>6.04</v>
      </c>
    </row>
    <row r="1490" spans="1:7" x14ac:dyDescent="0.3">
      <c r="A1490" s="19">
        <v>3699</v>
      </c>
      <c r="B1490" s="19" t="s">
        <v>2463</v>
      </c>
      <c r="C1490" s="19" t="s">
        <v>899</v>
      </c>
      <c r="D1490" s="19" t="s">
        <v>939</v>
      </c>
      <c r="E1490" s="19" t="s">
        <v>2460</v>
      </c>
      <c r="F1490" s="19">
        <v>0</v>
      </c>
      <c r="G1490" s="43">
        <v>6.12</v>
      </c>
    </row>
    <row r="1491" spans="1:7" x14ac:dyDescent="0.3">
      <c r="A1491" s="19">
        <v>3700</v>
      </c>
      <c r="B1491" s="19" t="s">
        <v>2464</v>
      </c>
      <c r="C1491" s="19" t="s">
        <v>899</v>
      </c>
      <c r="D1491" s="19" t="s">
        <v>939</v>
      </c>
      <c r="E1491" s="19" t="s">
        <v>2460</v>
      </c>
      <c r="F1491" s="19">
        <v>0</v>
      </c>
      <c r="G1491" s="43">
        <v>5.77</v>
      </c>
    </row>
    <row r="1492" spans="1:7" x14ac:dyDescent="0.3">
      <c r="A1492" s="19">
        <v>3701</v>
      </c>
      <c r="B1492" s="19" t="s">
        <v>2465</v>
      </c>
      <c r="C1492" s="19" t="s">
        <v>899</v>
      </c>
      <c r="D1492" s="19" t="s">
        <v>939</v>
      </c>
      <c r="E1492" s="19" t="s">
        <v>2460</v>
      </c>
      <c r="F1492" s="19">
        <v>0</v>
      </c>
      <c r="G1492" s="43">
        <v>8.48</v>
      </c>
    </row>
    <row r="1493" spans="1:7" x14ac:dyDescent="0.3">
      <c r="A1493" s="19">
        <v>3702</v>
      </c>
      <c r="B1493" s="19" t="s">
        <v>2466</v>
      </c>
      <c r="C1493" s="19" t="s">
        <v>899</v>
      </c>
      <c r="D1493" s="19" t="s">
        <v>939</v>
      </c>
      <c r="E1493" s="19" t="s">
        <v>2460</v>
      </c>
      <c r="F1493" s="19">
        <v>0</v>
      </c>
      <c r="G1493" s="43">
        <v>6.48</v>
      </c>
    </row>
    <row r="1494" spans="1:7" x14ac:dyDescent="0.3">
      <c r="A1494" s="19">
        <v>3921</v>
      </c>
      <c r="B1494" s="19" t="s">
        <v>2467</v>
      </c>
      <c r="C1494" s="19" t="s">
        <v>899</v>
      </c>
      <c r="D1494" s="19" t="s">
        <v>939</v>
      </c>
      <c r="E1494" s="19" t="s">
        <v>2468</v>
      </c>
      <c r="F1494" s="19">
        <v>0</v>
      </c>
      <c r="G1494" s="43">
        <v>3.9</v>
      </c>
    </row>
    <row r="1495" spans="1:7" x14ac:dyDescent="0.3">
      <c r="A1495" s="19">
        <v>3930</v>
      </c>
      <c r="B1495" s="19" t="s">
        <v>2469</v>
      </c>
      <c r="C1495" s="19" t="s">
        <v>899</v>
      </c>
      <c r="D1495" s="19" t="s">
        <v>939</v>
      </c>
      <c r="E1495" s="19" t="s">
        <v>2468</v>
      </c>
      <c r="F1495" s="19">
        <v>0</v>
      </c>
      <c r="G1495" s="43">
        <v>3.9</v>
      </c>
    </row>
    <row r="1496" spans="1:7" x14ac:dyDescent="0.3">
      <c r="A1496" s="19">
        <v>3920</v>
      </c>
      <c r="B1496" s="19" t="s">
        <v>2470</v>
      </c>
      <c r="C1496" s="19" t="s">
        <v>899</v>
      </c>
      <c r="D1496" s="19" t="s">
        <v>939</v>
      </c>
      <c r="E1496" s="19" t="s">
        <v>2468</v>
      </c>
      <c r="F1496" s="19">
        <v>0</v>
      </c>
      <c r="G1496" s="43">
        <v>3.9</v>
      </c>
    </row>
    <row r="1497" spans="1:7" x14ac:dyDescent="0.3">
      <c r="A1497" s="19">
        <v>3928</v>
      </c>
      <c r="B1497" s="19" t="s">
        <v>2471</v>
      </c>
      <c r="C1497" s="19" t="s">
        <v>899</v>
      </c>
      <c r="D1497" s="19" t="s">
        <v>939</v>
      </c>
      <c r="E1497" s="19" t="s">
        <v>2468</v>
      </c>
      <c r="F1497" s="19">
        <v>0</v>
      </c>
      <c r="G1497" s="43">
        <v>3.9</v>
      </c>
    </row>
    <row r="1498" spans="1:7" x14ac:dyDescent="0.3">
      <c r="A1498" s="19">
        <v>3929</v>
      </c>
      <c r="B1498" s="19" t="s">
        <v>2472</v>
      </c>
      <c r="C1498" s="19" t="s">
        <v>899</v>
      </c>
      <c r="D1498" s="19" t="s">
        <v>939</v>
      </c>
      <c r="E1498" s="19" t="s">
        <v>2468</v>
      </c>
      <c r="F1498" s="19">
        <v>0</v>
      </c>
      <c r="G1498" s="43">
        <v>3.9</v>
      </c>
    </row>
    <row r="1499" spans="1:7" x14ac:dyDescent="0.3">
      <c r="A1499" s="19">
        <v>3919</v>
      </c>
      <c r="B1499" s="19" t="s">
        <v>2473</v>
      </c>
      <c r="C1499" s="19" t="s">
        <v>899</v>
      </c>
      <c r="D1499" s="19" t="s">
        <v>939</v>
      </c>
      <c r="E1499" s="19" t="s">
        <v>2468</v>
      </c>
      <c r="F1499" s="19">
        <v>0</v>
      </c>
      <c r="G1499" s="43">
        <v>3.9</v>
      </c>
    </row>
    <row r="1500" spans="1:7" x14ac:dyDescent="0.3">
      <c r="A1500" s="19">
        <v>3922</v>
      </c>
      <c r="B1500" s="19" t="s">
        <v>2474</v>
      </c>
      <c r="C1500" s="19" t="s">
        <v>899</v>
      </c>
      <c r="D1500" s="19" t="s">
        <v>939</v>
      </c>
      <c r="E1500" s="19" t="s">
        <v>2468</v>
      </c>
      <c r="F1500" s="19">
        <v>0</v>
      </c>
      <c r="G1500" s="43">
        <v>3.9</v>
      </c>
    </row>
    <row r="1501" spans="1:7" x14ac:dyDescent="0.3">
      <c r="A1501" s="19">
        <v>3712</v>
      </c>
      <c r="B1501" s="19" t="s">
        <v>2475</v>
      </c>
      <c r="C1501" s="19" t="s">
        <v>899</v>
      </c>
      <c r="D1501" s="19" t="s">
        <v>939</v>
      </c>
      <c r="E1501" s="19" t="s">
        <v>2468</v>
      </c>
      <c r="F1501" s="19">
        <v>0</v>
      </c>
      <c r="G1501" s="43">
        <v>3.9</v>
      </c>
    </row>
    <row r="1502" spans="1:7" x14ac:dyDescent="0.3">
      <c r="A1502" s="19">
        <v>3923</v>
      </c>
      <c r="B1502" s="19" t="s">
        <v>2476</v>
      </c>
      <c r="C1502" s="19" t="s">
        <v>899</v>
      </c>
      <c r="D1502" s="19" t="s">
        <v>939</v>
      </c>
      <c r="E1502" s="19" t="s">
        <v>2468</v>
      </c>
      <c r="F1502" s="19">
        <v>0</v>
      </c>
      <c r="G1502" s="43">
        <v>3.9</v>
      </c>
    </row>
    <row r="1503" spans="1:7" x14ac:dyDescent="0.3">
      <c r="A1503" s="19">
        <v>3925</v>
      </c>
      <c r="B1503" s="19" t="s">
        <v>2477</v>
      </c>
      <c r="C1503" s="19" t="s">
        <v>899</v>
      </c>
      <c r="D1503" s="19" t="s">
        <v>939</v>
      </c>
      <c r="E1503" s="19" t="s">
        <v>2468</v>
      </c>
      <c r="F1503" s="19">
        <v>0</v>
      </c>
      <c r="G1503" s="43">
        <v>3.9</v>
      </c>
    </row>
    <row r="1504" spans="1:7" x14ac:dyDescent="0.3">
      <c r="A1504" s="19">
        <v>3924</v>
      </c>
      <c r="B1504" s="19" t="s">
        <v>2478</v>
      </c>
      <c r="C1504" s="19" t="s">
        <v>899</v>
      </c>
      <c r="D1504" s="19" t="s">
        <v>939</v>
      </c>
      <c r="E1504" s="19" t="s">
        <v>2468</v>
      </c>
      <c r="F1504" s="19">
        <v>0</v>
      </c>
      <c r="G1504" s="43">
        <v>3.9</v>
      </c>
    </row>
    <row r="1505" spans="1:7" x14ac:dyDescent="0.3">
      <c r="A1505" s="19">
        <v>3926</v>
      </c>
      <c r="B1505" s="19" t="s">
        <v>2479</v>
      </c>
      <c r="C1505" s="19" t="s">
        <v>899</v>
      </c>
      <c r="D1505" s="19" t="s">
        <v>939</v>
      </c>
      <c r="E1505" s="19" t="s">
        <v>2468</v>
      </c>
      <c r="F1505" s="19">
        <v>0</v>
      </c>
      <c r="G1505" s="43">
        <v>3.9</v>
      </c>
    </row>
    <row r="1506" spans="1:7" x14ac:dyDescent="0.3">
      <c r="A1506" s="19">
        <v>3927</v>
      </c>
      <c r="B1506" s="19" t="s">
        <v>2480</v>
      </c>
      <c r="C1506" s="19" t="s">
        <v>899</v>
      </c>
      <c r="D1506" s="19" t="s">
        <v>939</v>
      </c>
      <c r="E1506" s="19" t="s">
        <v>2468</v>
      </c>
      <c r="F1506" s="19">
        <v>0</v>
      </c>
      <c r="G1506" s="43">
        <v>3.9</v>
      </c>
    </row>
    <row r="1507" spans="1:7" x14ac:dyDescent="0.3">
      <c r="A1507" s="19">
        <v>2330</v>
      </c>
      <c r="B1507" s="19" t="s">
        <v>2481</v>
      </c>
      <c r="C1507" s="19" t="s">
        <v>899</v>
      </c>
      <c r="D1507" s="19" t="s">
        <v>2482</v>
      </c>
      <c r="E1507" s="19" t="s">
        <v>901</v>
      </c>
      <c r="F1507" s="19">
        <v>0</v>
      </c>
      <c r="G1507" s="43">
        <v>738</v>
      </c>
    </row>
    <row r="1508" spans="1:7" x14ac:dyDescent="0.3">
      <c r="A1508" s="19">
        <v>3417</v>
      </c>
      <c r="B1508" s="19" t="s">
        <v>2483</v>
      </c>
      <c r="C1508" s="19" t="s">
        <v>1395</v>
      </c>
      <c r="D1508" s="19" t="s">
        <v>2484</v>
      </c>
      <c r="E1508" s="19" t="s">
        <v>1118</v>
      </c>
      <c r="F1508" s="19">
        <v>0</v>
      </c>
      <c r="G1508" s="43">
        <v>60</v>
      </c>
    </row>
    <row r="1509" spans="1:7" x14ac:dyDescent="0.3">
      <c r="A1509" s="19">
        <v>1384</v>
      </c>
      <c r="B1509" s="19" t="s">
        <v>2485</v>
      </c>
      <c r="C1509" s="19" t="s">
        <v>899</v>
      </c>
      <c r="D1509" s="19" t="s">
        <v>1045</v>
      </c>
      <c r="E1509" s="19" t="s">
        <v>1118</v>
      </c>
      <c r="F1509" s="19">
        <v>0</v>
      </c>
      <c r="G1509" s="43">
        <v>0.12</v>
      </c>
    </row>
    <row r="1510" spans="1:7" x14ac:dyDescent="0.3">
      <c r="A1510" s="19">
        <v>1383</v>
      </c>
      <c r="B1510" s="19" t="s">
        <v>2486</v>
      </c>
      <c r="C1510" s="19" t="s">
        <v>899</v>
      </c>
      <c r="D1510" s="19" t="s">
        <v>1045</v>
      </c>
      <c r="E1510" s="19" t="s">
        <v>1118</v>
      </c>
      <c r="F1510" s="19">
        <v>0</v>
      </c>
      <c r="G1510" s="43">
        <v>0.12</v>
      </c>
    </row>
    <row r="1511" spans="1:7" x14ac:dyDescent="0.3">
      <c r="A1511" s="19">
        <v>1640</v>
      </c>
      <c r="B1511" s="19" t="s">
        <v>2487</v>
      </c>
      <c r="C1511" s="19" t="s">
        <v>899</v>
      </c>
      <c r="D1511" s="19" t="s">
        <v>1045</v>
      </c>
      <c r="E1511" s="19" t="s">
        <v>1118</v>
      </c>
      <c r="F1511" s="19">
        <v>0</v>
      </c>
      <c r="G1511" s="43">
        <v>0.12</v>
      </c>
    </row>
    <row r="1512" spans="1:7" x14ac:dyDescent="0.3">
      <c r="A1512" s="19">
        <v>979</v>
      </c>
      <c r="B1512" s="19" t="s">
        <v>2488</v>
      </c>
      <c r="C1512" s="19" t="s">
        <v>899</v>
      </c>
      <c r="D1512" s="19" t="s">
        <v>1045</v>
      </c>
      <c r="E1512" s="19" t="s">
        <v>1118</v>
      </c>
      <c r="F1512" s="19">
        <v>0</v>
      </c>
      <c r="G1512" s="43">
        <v>0.12</v>
      </c>
    </row>
    <row r="1513" spans="1:7" x14ac:dyDescent="0.3">
      <c r="A1513" s="19">
        <v>879</v>
      </c>
      <c r="B1513" s="19" t="s">
        <v>2489</v>
      </c>
      <c r="C1513" s="19" t="s">
        <v>899</v>
      </c>
      <c r="D1513" s="19" t="s">
        <v>1045</v>
      </c>
      <c r="E1513" s="19" t="s">
        <v>1118</v>
      </c>
      <c r="F1513" s="19">
        <v>0</v>
      </c>
      <c r="G1513" s="43">
        <v>0.12</v>
      </c>
    </row>
    <row r="1514" spans="1:7" x14ac:dyDescent="0.3">
      <c r="A1514" s="19">
        <v>3006</v>
      </c>
      <c r="B1514" s="19" t="s">
        <v>2490</v>
      </c>
      <c r="C1514" s="19" t="s">
        <v>899</v>
      </c>
      <c r="D1514" s="19" t="s">
        <v>1045</v>
      </c>
      <c r="E1514" s="19" t="s">
        <v>1118</v>
      </c>
      <c r="F1514" s="19">
        <v>0</v>
      </c>
      <c r="G1514" s="43">
        <v>0.12</v>
      </c>
    </row>
    <row r="1515" spans="1:7" x14ac:dyDescent="0.3">
      <c r="A1515" s="19">
        <v>3007</v>
      </c>
      <c r="B1515" s="19" t="s">
        <v>2491</v>
      </c>
      <c r="C1515" s="19" t="s">
        <v>899</v>
      </c>
      <c r="D1515" s="19" t="s">
        <v>1045</v>
      </c>
      <c r="E1515" s="19" t="s">
        <v>1118</v>
      </c>
      <c r="F1515" s="19">
        <v>0</v>
      </c>
      <c r="G1515" s="43">
        <v>0.12</v>
      </c>
    </row>
    <row r="1516" spans="1:7" x14ac:dyDescent="0.3">
      <c r="A1516" s="19">
        <v>2784</v>
      </c>
      <c r="B1516" s="19" t="s">
        <v>2492</v>
      </c>
      <c r="C1516" s="19" t="s">
        <v>899</v>
      </c>
      <c r="D1516" s="19" t="s">
        <v>1045</v>
      </c>
      <c r="E1516" s="19" t="s">
        <v>1118</v>
      </c>
      <c r="F1516" s="19">
        <v>0</v>
      </c>
      <c r="G1516" s="43">
        <v>0.12</v>
      </c>
    </row>
    <row r="1517" spans="1:7" x14ac:dyDescent="0.3">
      <c r="A1517" s="19">
        <v>2783</v>
      </c>
      <c r="B1517" s="19" t="s">
        <v>2493</v>
      </c>
      <c r="C1517" s="19" t="s">
        <v>899</v>
      </c>
      <c r="D1517" s="19" t="s">
        <v>1045</v>
      </c>
      <c r="E1517" s="19" t="s">
        <v>1118</v>
      </c>
      <c r="F1517" s="19">
        <v>0</v>
      </c>
      <c r="G1517" s="43">
        <v>0.12</v>
      </c>
    </row>
    <row r="1518" spans="1:7" x14ac:dyDescent="0.3">
      <c r="A1518" s="19">
        <v>2031</v>
      </c>
      <c r="B1518" s="19" t="s">
        <v>2494</v>
      </c>
      <c r="C1518" s="19" t="s">
        <v>899</v>
      </c>
      <c r="D1518" s="19" t="s">
        <v>1045</v>
      </c>
      <c r="E1518" s="19" t="s">
        <v>1118</v>
      </c>
      <c r="F1518" s="19">
        <v>0</v>
      </c>
      <c r="G1518" s="43">
        <v>0.12</v>
      </c>
    </row>
    <row r="1519" spans="1:7" x14ac:dyDescent="0.3">
      <c r="A1519" s="19">
        <v>2196</v>
      </c>
      <c r="B1519" s="19" t="s">
        <v>2495</v>
      </c>
      <c r="C1519" s="19" t="s">
        <v>899</v>
      </c>
      <c r="D1519" s="19" t="s">
        <v>1045</v>
      </c>
      <c r="E1519" s="19" t="s">
        <v>1118</v>
      </c>
      <c r="F1519" s="19">
        <v>0</v>
      </c>
      <c r="G1519" s="43">
        <v>0.12</v>
      </c>
    </row>
    <row r="1520" spans="1:7" x14ac:dyDescent="0.3">
      <c r="A1520" s="19">
        <v>1642</v>
      </c>
      <c r="B1520" s="19" t="s">
        <v>2496</v>
      </c>
      <c r="C1520" s="19" t="s">
        <v>899</v>
      </c>
      <c r="D1520" s="19" t="s">
        <v>1045</v>
      </c>
      <c r="E1520" s="19" t="s">
        <v>1118</v>
      </c>
      <c r="F1520" s="19">
        <v>0</v>
      </c>
      <c r="G1520" s="43">
        <v>0.12</v>
      </c>
    </row>
    <row r="1521" spans="1:7" x14ac:dyDescent="0.3">
      <c r="A1521" s="19">
        <v>2055</v>
      </c>
      <c r="B1521" s="19" t="s">
        <v>2497</v>
      </c>
      <c r="C1521" s="19" t="s">
        <v>899</v>
      </c>
      <c r="D1521" s="19" t="s">
        <v>1045</v>
      </c>
      <c r="E1521" s="19" t="s">
        <v>1118</v>
      </c>
      <c r="F1521" s="19">
        <v>0</v>
      </c>
      <c r="G1521" s="43">
        <v>0.12</v>
      </c>
    </row>
    <row r="1522" spans="1:7" x14ac:dyDescent="0.3">
      <c r="A1522" s="19">
        <v>1643</v>
      </c>
      <c r="B1522" s="19" t="s">
        <v>2498</v>
      </c>
      <c r="C1522" s="19" t="s">
        <v>899</v>
      </c>
      <c r="D1522" s="19" t="s">
        <v>1045</v>
      </c>
      <c r="E1522" s="19" t="s">
        <v>1118</v>
      </c>
      <c r="F1522" s="19">
        <v>0</v>
      </c>
      <c r="G1522" s="43">
        <v>0.12</v>
      </c>
    </row>
    <row r="1523" spans="1:7" x14ac:dyDescent="0.3">
      <c r="A1523" s="19">
        <v>2528</v>
      </c>
      <c r="B1523" s="19" t="s">
        <v>2499</v>
      </c>
      <c r="C1523" s="19" t="s">
        <v>899</v>
      </c>
      <c r="D1523" s="19" t="s">
        <v>1045</v>
      </c>
      <c r="E1523" s="19" t="s">
        <v>1118</v>
      </c>
      <c r="F1523" s="19">
        <v>0</v>
      </c>
      <c r="G1523" s="43">
        <v>0.12</v>
      </c>
    </row>
    <row r="1524" spans="1:7" x14ac:dyDescent="0.3">
      <c r="A1524" s="19">
        <v>1149</v>
      </c>
      <c r="B1524" s="19" t="s">
        <v>2500</v>
      </c>
      <c r="C1524" s="19" t="s">
        <v>899</v>
      </c>
      <c r="D1524" s="19" t="s">
        <v>1045</v>
      </c>
      <c r="E1524" s="19" t="s">
        <v>1118</v>
      </c>
      <c r="F1524" s="19">
        <v>0</v>
      </c>
      <c r="G1524" s="43">
        <v>0.12</v>
      </c>
    </row>
    <row r="1525" spans="1:7" x14ac:dyDescent="0.3">
      <c r="A1525" s="19">
        <v>802</v>
      </c>
      <c r="B1525" s="19" t="s">
        <v>2501</v>
      </c>
      <c r="C1525" s="19" t="s">
        <v>899</v>
      </c>
      <c r="D1525" s="19" t="s">
        <v>1045</v>
      </c>
      <c r="E1525" s="19" t="s">
        <v>1118</v>
      </c>
      <c r="F1525" s="19">
        <v>0</v>
      </c>
      <c r="G1525" s="43">
        <v>0.14000000000000001</v>
      </c>
    </row>
    <row r="1526" spans="1:7" x14ac:dyDescent="0.3">
      <c r="A1526" s="19">
        <v>2404</v>
      </c>
      <c r="B1526" s="19" t="s">
        <v>2502</v>
      </c>
      <c r="C1526" s="19" t="s">
        <v>899</v>
      </c>
      <c r="D1526" s="19" t="s">
        <v>1045</v>
      </c>
      <c r="E1526" s="19" t="s">
        <v>1118</v>
      </c>
      <c r="F1526" s="19">
        <v>0</v>
      </c>
      <c r="G1526" s="43">
        <v>0.12</v>
      </c>
    </row>
    <row r="1527" spans="1:7" x14ac:dyDescent="0.3">
      <c r="A1527" s="19">
        <v>2403</v>
      </c>
      <c r="B1527" s="19" t="s">
        <v>2503</v>
      </c>
      <c r="C1527" s="19" t="s">
        <v>899</v>
      </c>
      <c r="D1527" s="19" t="s">
        <v>1045</v>
      </c>
      <c r="E1527" s="19" t="s">
        <v>1118</v>
      </c>
      <c r="F1527" s="19">
        <v>0</v>
      </c>
      <c r="G1527" s="43">
        <v>0.12</v>
      </c>
    </row>
    <row r="1528" spans="1:7" x14ac:dyDescent="0.3">
      <c r="A1528" s="19">
        <v>1266</v>
      </c>
      <c r="B1528" s="19" t="s">
        <v>2504</v>
      </c>
      <c r="C1528" s="19" t="s">
        <v>899</v>
      </c>
      <c r="D1528" s="19" t="s">
        <v>1045</v>
      </c>
      <c r="E1528" s="19" t="s">
        <v>1118</v>
      </c>
      <c r="F1528" s="19">
        <v>0</v>
      </c>
      <c r="G1528" s="43">
        <v>0.2</v>
      </c>
    </row>
    <row r="1529" spans="1:7" x14ac:dyDescent="0.3">
      <c r="A1529" s="19">
        <v>2200</v>
      </c>
      <c r="B1529" s="19" t="s">
        <v>2505</v>
      </c>
      <c r="C1529" s="19" t="s">
        <v>899</v>
      </c>
      <c r="D1529" s="19" t="s">
        <v>1045</v>
      </c>
      <c r="E1529" s="19" t="s">
        <v>1118</v>
      </c>
      <c r="F1529" s="19">
        <v>0</v>
      </c>
      <c r="G1529" s="43">
        <v>0.2</v>
      </c>
    </row>
    <row r="1530" spans="1:7" x14ac:dyDescent="0.3">
      <c r="A1530" s="19">
        <v>4034</v>
      </c>
      <c r="B1530" s="19" t="s">
        <v>2506</v>
      </c>
      <c r="C1530" s="19" t="s">
        <v>899</v>
      </c>
      <c r="D1530" s="19" t="s">
        <v>1045</v>
      </c>
      <c r="E1530" s="19" t="s">
        <v>1118</v>
      </c>
      <c r="F1530" s="19">
        <v>0</v>
      </c>
      <c r="G1530" s="43">
        <v>0.12</v>
      </c>
    </row>
    <row r="1531" spans="1:7" x14ac:dyDescent="0.3">
      <c r="A1531" s="19">
        <v>2725</v>
      </c>
      <c r="B1531" s="19" t="s">
        <v>2507</v>
      </c>
      <c r="C1531" s="19" t="s">
        <v>899</v>
      </c>
      <c r="D1531" s="19" t="s">
        <v>1045</v>
      </c>
      <c r="E1531" s="19" t="s">
        <v>1118</v>
      </c>
      <c r="F1531" s="19">
        <v>0</v>
      </c>
      <c r="G1531" s="43">
        <v>0.12</v>
      </c>
    </row>
    <row r="1532" spans="1:7" x14ac:dyDescent="0.3">
      <c r="A1532" s="19">
        <v>2105</v>
      </c>
      <c r="B1532" s="19" t="s">
        <v>2508</v>
      </c>
      <c r="C1532" s="19" t="s">
        <v>899</v>
      </c>
      <c r="D1532" s="19" t="s">
        <v>1045</v>
      </c>
      <c r="E1532" s="19" t="s">
        <v>1118</v>
      </c>
      <c r="F1532" s="19">
        <v>0</v>
      </c>
      <c r="G1532" s="43">
        <v>0.12</v>
      </c>
    </row>
    <row r="1533" spans="1:7" x14ac:dyDescent="0.3">
      <c r="A1533" s="19">
        <v>2058</v>
      </c>
      <c r="B1533" s="19" t="s">
        <v>2509</v>
      </c>
      <c r="C1533" s="19" t="s">
        <v>899</v>
      </c>
      <c r="D1533" s="19" t="s">
        <v>1045</v>
      </c>
      <c r="E1533" s="19" t="s">
        <v>1118</v>
      </c>
      <c r="F1533" s="19">
        <v>0</v>
      </c>
      <c r="G1533" s="43">
        <v>0.12</v>
      </c>
    </row>
    <row r="1534" spans="1:7" x14ac:dyDescent="0.3">
      <c r="A1534" s="19">
        <v>2214</v>
      </c>
      <c r="B1534" s="19" t="s">
        <v>2510</v>
      </c>
      <c r="C1534" s="19" t="s">
        <v>899</v>
      </c>
      <c r="D1534" s="19" t="s">
        <v>1045</v>
      </c>
      <c r="E1534" s="19" t="s">
        <v>1118</v>
      </c>
      <c r="F1534" s="19">
        <v>0</v>
      </c>
      <c r="G1534" s="43">
        <v>0.12</v>
      </c>
    </row>
    <row r="1535" spans="1:7" x14ac:dyDescent="0.3">
      <c r="A1535" s="19">
        <v>2757</v>
      </c>
      <c r="B1535" s="19" t="s">
        <v>2511</v>
      </c>
      <c r="C1535" s="19" t="s">
        <v>899</v>
      </c>
      <c r="D1535" s="19" t="s">
        <v>1045</v>
      </c>
      <c r="E1535" s="19" t="s">
        <v>1118</v>
      </c>
      <c r="F1535" s="19">
        <v>0</v>
      </c>
      <c r="G1535" s="43">
        <v>0.12</v>
      </c>
    </row>
    <row r="1536" spans="1:7" x14ac:dyDescent="0.3">
      <c r="A1536" s="19">
        <v>2215</v>
      </c>
      <c r="B1536" s="19" t="s">
        <v>2512</v>
      </c>
      <c r="C1536" s="19" t="s">
        <v>899</v>
      </c>
      <c r="D1536" s="19" t="s">
        <v>1045</v>
      </c>
      <c r="E1536" s="19" t="s">
        <v>1118</v>
      </c>
      <c r="F1536" s="19">
        <v>0</v>
      </c>
      <c r="G1536" s="43">
        <v>0.12</v>
      </c>
    </row>
    <row r="1537" spans="1:7" x14ac:dyDescent="0.3">
      <c r="A1537" s="19">
        <v>589</v>
      </c>
      <c r="B1537" s="19" t="s">
        <v>2513</v>
      </c>
      <c r="C1537" s="19" t="s">
        <v>899</v>
      </c>
      <c r="D1537" s="19" t="s">
        <v>1045</v>
      </c>
      <c r="E1537" s="19" t="s">
        <v>1118</v>
      </c>
      <c r="F1537" s="19">
        <v>0</v>
      </c>
      <c r="G1537" s="43">
        <v>0.12</v>
      </c>
    </row>
    <row r="1538" spans="1:7" x14ac:dyDescent="0.3">
      <c r="A1538" s="19">
        <v>2173</v>
      </c>
      <c r="B1538" s="19" t="s">
        <v>2514</v>
      </c>
      <c r="C1538" s="19" t="s">
        <v>899</v>
      </c>
      <c r="D1538" s="19" t="s">
        <v>1045</v>
      </c>
      <c r="E1538" s="19" t="s">
        <v>1118</v>
      </c>
      <c r="F1538" s="19">
        <v>0</v>
      </c>
      <c r="G1538" s="43">
        <v>0.12</v>
      </c>
    </row>
    <row r="1539" spans="1:7" x14ac:dyDescent="0.3">
      <c r="A1539" s="19">
        <v>1641</v>
      </c>
      <c r="B1539" s="19" t="s">
        <v>2515</v>
      </c>
      <c r="C1539" s="19" t="s">
        <v>899</v>
      </c>
      <c r="D1539" s="19" t="s">
        <v>1045</v>
      </c>
      <c r="E1539" s="19" t="s">
        <v>1118</v>
      </c>
      <c r="F1539" s="19">
        <v>0</v>
      </c>
      <c r="G1539" s="43">
        <v>0.12</v>
      </c>
    </row>
    <row r="1540" spans="1:7" x14ac:dyDescent="0.3">
      <c r="A1540" s="19">
        <v>2099</v>
      </c>
      <c r="B1540" s="19" t="s">
        <v>2516</v>
      </c>
      <c r="C1540" s="19" t="s">
        <v>899</v>
      </c>
      <c r="D1540" s="19" t="s">
        <v>1045</v>
      </c>
      <c r="E1540" s="19" t="s">
        <v>1118</v>
      </c>
      <c r="F1540" s="19">
        <v>0</v>
      </c>
      <c r="G1540" s="43">
        <v>0.12</v>
      </c>
    </row>
    <row r="1541" spans="1:7" x14ac:dyDescent="0.3">
      <c r="A1541" s="19">
        <v>2529</v>
      </c>
      <c r="B1541" s="19" t="s">
        <v>2517</v>
      </c>
      <c r="C1541" s="19" t="s">
        <v>899</v>
      </c>
      <c r="D1541" s="19" t="s">
        <v>1045</v>
      </c>
      <c r="E1541" s="19" t="s">
        <v>1118</v>
      </c>
      <c r="F1541" s="19">
        <v>0</v>
      </c>
      <c r="G1541" s="43">
        <v>0.12</v>
      </c>
    </row>
    <row r="1542" spans="1:7" x14ac:dyDescent="0.3">
      <c r="A1542" s="19">
        <v>2405</v>
      </c>
      <c r="B1542" s="19" t="s">
        <v>2518</v>
      </c>
      <c r="C1542" s="19" t="s">
        <v>899</v>
      </c>
      <c r="D1542" s="19" t="s">
        <v>1045</v>
      </c>
      <c r="E1542" s="19" t="s">
        <v>1118</v>
      </c>
      <c r="F1542" s="19">
        <v>0</v>
      </c>
      <c r="G1542" s="43">
        <v>0.12</v>
      </c>
    </row>
    <row r="1543" spans="1:7" x14ac:dyDescent="0.3">
      <c r="A1543" s="19">
        <v>2217</v>
      </c>
      <c r="B1543" s="19" t="s">
        <v>2519</v>
      </c>
      <c r="C1543" s="19" t="s">
        <v>899</v>
      </c>
      <c r="D1543" s="19" t="s">
        <v>1045</v>
      </c>
      <c r="E1543" s="19" t="s">
        <v>1118</v>
      </c>
      <c r="F1543" s="19">
        <v>0</v>
      </c>
      <c r="G1543" s="43">
        <v>0.12</v>
      </c>
    </row>
    <row r="1544" spans="1:7" x14ac:dyDescent="0.3">
      <c r="A1544" s="19">
        <v>883</v>
      </c>
      <c r="B1544" s="19" t="s">
        <v>2520</v>
      </c>
      <c r="C1544" s="19" t="s">
        <v>899</v>
      </c>
      <c r="D1544" s="19" t="s">
        <v>1045</v>
      </c>
      <c r="E1544" s="19" t="s">
        <v>1118</v>
      </c>
      <c r="F1544" s="19">
        <v>0</v>
      </c>
      <c r="G1544" s="43">
        <v>0.12</v>
      </c>
    </row>
    <row r="1545" spans="1:7" x14ac:dyDescent="0.3">
      <c r="A1545" s="19">
        <v>882</v>
      </c>
      <c r="B1545" s="19" t="s">
        <v>2521</v>
      </c>
      <c r="C1545" s="19" t="s">
        <v>899</v>
      </c>
      <c r="D1545" s="19" t="s">
        <v>1045</v>
      </c>
      <c r="E1545" s="19" t="s">
        <v>1118</v>
      </c>
      <c r="F1545" s="19">
        <v>0</v>
      </c>
      <c r="G1545" s="43">
        <v>0.12</v>
      </c>
    </row>
    <row r="1546" spans="1:7" x14ac:dyDescent="0.3">
      <c r="A1546" s="19">
        <v>885</v>
      </c>
      <c r="B1546" s="19" t="s">
        <v>2522</v>
      </c>
      <c r="C1546" s="19" t="s">
        <v>899</v>
      </c>
      <c r="D1546" s="19" t="s">
        <v>1045</v>
      </c>
      <c r="E1546" s="19" t="s">
        <v>1118</v>
      </c>
      <c r="F1546" s="19">
        <v>0</v>
      </c>
      <c r="G1546" s="43">
        <v>0.12</v>
      </c>
    </row>
    <row r="1547" spans="1:7" x14ac:dyDescent="0.3">
      <c r="A1547" s="19">
        <v>980</v>
      </c>
      <c r="B1547" s="19" t="s">
        <v>2523</v>
      </c>
      <c r="C1547" s="19" t="s">
        <v>899</v>
      </c>
      <c r="D1547" s="19" t="s">
        <v>1045</v>
      </c>
      <c r="E1547" s="19" t="s">
        <v>1118</v>
      </c>
      <c r="F1547" s="19">
        <v>0</v>
      </c>
      <c r="G1547" s="43">
        <v>0.12</v>
      </c>
    </row>
    <row r="1548" spans="1:7" x14ac:dyDescent="0.3">
      <c r="A1548" s="19">
        <v>1262</v>
      </c>
      <c r="B1548" s="19" t="s">
        <v>2524</v>
      </c>
      <c r="C1548" s="19" t="s">
        <v>899</v>
      </c>
      <c r="D1548" s="19" t="s">
        <v>1045</v>
      </c>
      <c r="E1548" s="19" t="s">
        <v>1118</v>
      </c>
      <c r="F1548" s="19">
        <v>0</v>
      </c>
      <c r="G1548" s="43">
        <v>0.12</v>
      </c>
    </row>
    <row r="1549" spans="1:7" x14ac:dyDescent="0.3">
      <c r="A1549" s="19">
        <v>2185</v>
      </c>
      <c r="B1549" s="19" t="s">
        <v>2525</v>
      </c>
      <c r="C1549" s="19" t="s">
        <v>899</v>
      </c>
      <c r="D1549" s="19" t="s">
        <v>1045</v>
      </c>
      <c r="E1549" s="19" t="s">
        <v>1118</v>
      </c>
      <c r="F1549" s="19">
        <v>0</v>
      </c>
      <c r="G1549" s="43">
        <v>0.22</v>
      </c>
    </row>
    <row r="1550" spans="1:7" x14ac:dyDescent="0.3">
      <c r="A1550" s="19">
        <v>970</v>
      </c>
      <c r="B1550" s="19" t="s">
        <v>2526</v>
      </c>
      <c r="C1550" s="19" t="s">
        <v>899</v>
      </c>
      <c r="D1550" s="19" t="s">
        <v>1045</v>
      </c>
      <c r="E1550" s="19" t="s">
        <v>1118</v>
      </c>
      <c r="F1550" s="19">
        <v>0</v>
      </c>
      <c r="G1550" s="43">
        <v>0.12</v>
      </c>
    </row>
    <row r="1551" spans="1:7" x14ac:dyDescent="0.3">
      <c r="A1551" s="19">
        <v>3196</v>
      </c>
      <c r="B1551" s="19" t="s">
        <v>2527</v>
      </c>
      <c r="C1551" s="19" t="s">
        <v>899</v>
      </c>
      <c r="D1551" s="19" t="s">
        <v>1045</v>
      </c>
      <c r="E1551" s="19" t="s">
        <v>1118</v>
      </c>
      <c r="F1551" s="19">
        <v>0</v>
      </c>
      <c r="G1551" s="43">
        <v>0.12</v>
      </c>
    </row>
    <row r="1552" spans="1:7" x14ac:dyDescent="0.3">
      <c r="A1552" s="19">
        <v>1644</v>
      </c>
      <c r="B1552" s="19" t="s">
        <v>2528</v>
      </c>
      <c r="C1552" s="19" t="s">
        <v>899</v>
      </c>
      <c r="D1552" s="19" t="s">
        <v>1045</v>
      </c>
      <c r="E1552" s="19" t="s">
        <v>1118</v>
      </c>
      <c r="F1552" s="19">
        <v>0</v>
      </c>
      <c r="G1552" s="43">
        <v>0.12</v>
      </c>
    </row>
    <row r="1553" spans="1:7" x14ac:dyDescent="0.3">
      <c r="A1553" s="19">
        <v>594</v>
      </c>
      <c r="B1553" s="19" t="s">
        <v>2529</v>
      </c>
      <c r="C1553" s="19" t="s">
        <v>899</v>
      </c>
      <c r="D1553" s="19" t="s">
        <v>1045</v>
      </c>
      <c r="E1553" s="19" t="s">
        <v>1118</v>
      </c>
      <c r="F1553" s="19">
        <v>0</v>
      </c>
      <c r="G1553" s="43">
        <v>0.12</v>
      </c>
    </row>
    <row r="1554" spans="1:7" x14ac:dyDescent="0.3">
      <c r="A1554" s="19">
        <v>2068</v>
      </c>
      <c r="B1554" s="19" t="s">
        <v>2530</v>
      </c>
      <c r="C1554" s="19" t="s">
        <v>899</v>
      </c>
      <c r="D1554" s="19" t="s">
        <v>1045</v>
      </c>
      <c r="E1554" s="19" t="s">
        <v>1118</v>
      </c>
      <c r="F1554" s="19">
        <v>0</v>
      </c>
      <c r="G1554" s="43">
        <v>0.12</v>
      </c>
    </row>
    <row r="1555" spans="1:7" x14ac:dyDescent="0.3">
      <c r="A1555" s="19">
        <v>2530</v>
      </c>
      <c r="B1555" s="19" t="s">
        <v>2531</v>
      </c>
      <c r="C1555" s="19" t="s">
        <v>899</v>
      </c>
      <c r="D1555" s="19" t="s">
        <v>1045</v>
      </c>
      <c r="E1555" s="19" t="s">
        <v>1118</v>
      </c>
      <c r="F1555" s="19">
        <v>0</v>
      </c>
      <c r="G1555" s="43">
        <v>0.12</v>
      </c>
    </row>
    <row r="1556" spans="1:7" x14ac:dyDescent="0.3">
      <c r="A1556" s="19">
        <v>2056</v>
      </c>
      <c r="B1556" s="19" t="s">
        <v>2532</v>
      </c>
      <c r="C1556" s="19" t="s">
        <v>899</v>
      </c>
      <c r="D1556" s="19" t="s">
        <v>1045</v>
      </c>
      <c r="E1556" s="19" t="s">
        <v>1118</v>
      </c>
      <c r="F1556" s="19">
        <v>0</v>
      </c>
      <c r="G1556" s="43">
        <v>0.12</v>
      </c>
    </row>
    <row r="1557" spans="1:7" x14ac:dyDescent="0.3">
      <c r="A1557" s="19">
        <v>2150</v>
      </c>
      <c r="B1557" s="19" t="s">
        <v>2533</v>
      </c>
      <c r="C1557" s="19" t="s">
        <v>899</v>
      </c>
      <c r="D1557" s="19" t="s">
        <v>1045</v>
      </c>
      <c r="E1557" s="19" t="s">
        <v>1118</v>
      </c>
      <c r="F1557" s="19">
        <v>0</v>
      </c>
      <c r="G1557" s="43">
        <v>0.12</v>
      </c>
    </row>
    <row r="1558" spans="1:7" x14ac:dyDescent="0.3">
      <c r="A1558" s="19">
        <v>2077</v>
      </c>
      <c r="B1558" s="19" t="s">
        <v>2534</v>
      </c>
      <c r="C1558" s="19" t="s">
        <v>899</v>
      </c>
      <c r="D1558" s="19" t="s">
        <v>1045</v>
      </c>
      <c r="E1558" s="19" t="s">
        <v>1118</v>
      </c>
      <c r="F1558" s="19">
        <v>0</v>
      </c>
      <c r="G1558" s="43">
        <v>0.12</v>
      </c>
    </row>
    <row r="1559" spans="1:7" x14ac:dyDescent="0.3">
      <c r="A1559" s="19">
        <v>2219</v>
      </c>
      <c r="B1559" s="19" t="s">
        <v>2535</v>
      </c>
      <c r="C1559" s="19" t="s">
        <v>899</v>
      </c>
      <c r="D1559" s="19" t="s">
        <v>1045</v>
      </c>
      <c r="E1559" s="19" t="s">
        <v>1118</v>
      </c>
      <c r="F1559" s="19">
        <v>0</v>
      </c>
      <c r="G1559" s="43">
        <v>0.12</v>
      </c>
    </row>
    <row r="1560" spans="1:7" x14ac:dyDescent="0.3">
      <c r="A1560" s="19">
        <v>1024</v>
      </c>
      <c r="B1560" s="19" t="s">
        <v>2536</v>
      </c>
      <c r="C1560" s="19" t="s">
        <v>899</v>
      </c>
      <c r="D1560" s="19" t="s">
        <v>1045</v>
      </c>
      <c r="E1560" s="19" t="s">
        <v>1118</v>
      </c>
      <c r="F1560" s="19">
        <v>0</v>
      </c>
      <c r="G1560" s="43">
        <v>0.2</v>
      </c>
    </row>
    <row r="1561" spans="1:7" x14ac:dyDescent="0.3">
      <c r="A1561" s="19">
        <v>1263</v>
      </c>
      <c r="B1561" s="19" t="s">
        <v>2537</v>
      </c>
      <c r="C1561" s="19" t="s">
        <v>899</v>
      </c>
      <c r="D1561" s="19" t="s">
        <v>1045</v>
      </c>
      <c r="E1561" s="19" t="s">
        <v>1118</v>
      </c>
      <c r="F1561" s="19">
        <v>0</v>
      </c>
      <c r="G1561" s="43">
        <v>0.12</v>
      </c>
    </row>
    <row r="1562" spans="1:7" x14ac:dyDescent="0.3">
      <c r="A1562" s="19">
        <v>2127</v>
      </c>
      <c r="B1562" s="19" t="s">
        <v>2538</v>
      </c>
      <c r="C1562" s="19" t="s">
        <v>899</v>
      </c>
      <c r="D1562" s="19" t="s">
        <v>1045</v>
      </c>
      <c r="E1562" s="19" t="s">
        <v>1118</v>
      </c>
      <c r="F1562" s="19">
        <v>0</v>
      </c>
      <c r="G1562" s="43">
        <v>0.12</v>
      </c>
    </row>
    <row r="1563" spans="1:7" x14ac:dyDescent="0.3">
      <c r="A1563" s="19">
        <v>2531</v>
      </c>
      <c r="B1563" s="19" t="s">
        <v>2539</v>
      </c>
      <c r="C1563" s="19" t="s">
        <v>899</v>
      </c>
      <c r="D1563" s="19" t="s">
        <v>1045</v>
      </c>
      <c r="E1563" s="19" t="s">
        <v>1118</v>
      </c>
      <c r="F1563" s="19">
        <v>0</v>
      </c>
      <c r="G1563" s="43">
        <v>0.12</v>
      </c>
    </row>
    <row r="1564" spans="1:7" x14ac:dyDescent="0.3">
      <c r="A1564" s="19">
        <v>1264</v>
      </c>
      <c r="B1564" s="19" t="s">
        <v>2540</v>
      </c>
      <c r="C1564" s="19" t="s">
        <v>899</v>
      </c>
      <c r="D1564" s="19" t="s">
        <v>1045</v>
      </c>
      <c r="E1564" s="19" t="s">
        <v>1118</v>
      </c>
      <c r="F1564" s="19">
        <v>0</v>
      </c>
      <c r="G1564" s="43">
        <v>0.12</v>
      </c>
    </row>
    <row r="1565" spans="1:7" x14ac:dyDescent="0.3">
      <c r="A1565" s="19">
        <v>2182</v>
      </c>
      <c r="B1565" s="19" t="s">
        <v>2541</v>
      </c>
      <c r="C1565" s="19" t="s">
        <v>899</v>
      </c>
      <c r="D1565" s="19" t="s">
        <v>1045</v>
      </c>
      <c r="E1565" s="19" t="s">
        <v>1118</v>
      </c>
      <c r="F1565" s="19">
        <v>0</v>
      </c>
      <c r="G1565" s="43">
        <v>0.12</v>
      </c>
    </row>
    <row r="1566" spans="1:7" x14ac:dyDescent="0.3">
      <c r="A1566" s="19">
        <v>2191</v>
      </c>
      <c r="B1566" s="19" t="s">
        <v>2542</v>
      </c>
      <c r="C1566" s="19" t="s">
        <v>899</v>
      </c>
      <c r="D1566" s="19" t="s">
        <v>1045</v>
      </c>
      <c r="E1566" s="19" t="s">
        <v>1118</v>
      </c>
      <c r="F1566" s="19">
        <v>0</v>
      </c>
      <c r="G1566" s="43">
        <v>0.12</v>
      </c>
    </row>
    <row r="1567" spans="1:7" x14ac:dyDescent="0.3">
      <c r="A1567" s="19">
        <v>2057</v>
      </c>
      <c r="B1567" s="19" t="s">
        <v>2543</v>
      </c>
      <c r="C1567" s="19" t="s">
        <v>899</v>
      </c>
      <c r="D1567" s="19" t="s">
        <v>1045</v>
      </c>
      <c r="E1567" s="19" t="s">
        <v>1118</v>
      </c>
      <c r="F1567" s="19">
        <v>0</v>
      </c>
      <c r="G1567" s="43">
        <v>0.12</v>
      </c>
    </row>
    <row r="1568" spans="1:7" x14ac:dyDescent="0.3">
      <c r="A1568" s="19">
        <v>2997</v>
      </c>
      <c r="B1568" s="19" t="s">
        <v>2544</v>
      </c>
      <c r="C1568" s="19" t="s">
        <v>899</v>
      </c>
      <c r="D1568" s="19" t="s">
        <v>1045</v>
      </c>
      <c r="E1568" s="19" t="s">
        <v>1118</v>
      </c>
      <c r="F1568" s="19">
        <v>0</v>
      </c>
      <c r="G1568" s="43">
        <v>0.12</v>
      </c>
    </row>
    <row r="1569" spans="1:7" x14ac:dyDescent="0.3">
      <c r="A1569" s="19">
        <v>3005</v>
      </c>
      <c r="B1569" s="19" t="s">
        <v>2545</v>
      </c>
      <c r="C1569" s="19" t="s">
        <v>899</v>
      </c>
      <c r="D1569" s="19" t="s">
        <v>1045</v>
      </c>
      <c r="E1569" s="19" t="s">
        <v>1118</v>
      </c>
      <c r="F1569" s="19">
        <v>0</v>
      </c>
      <c r="G1569" s="43">
        <v>0.12</v>
      </c>
    </row>
    <row r="1570" spans="1:7" x14ac:dyDescent="0.3">
      <c r="A1570" s="19">
        <v>2065</v>
      </c>
      <c r="B1570" s="19" t="s">
        <v>2546</v>
      </c>
      <c r="C1570" s="19" t="s">
        <v>899</v>
      </c>
      <c r="D1570" s="19" t="s">
        <v>1045</v>
      </c>
      <c r="E1570" s="19" t="s">
        <v>1118</v>
      </c>
      <c r="F1570" s="19">
        <v>0</v>
      </c>
      <c r="G1570" s="43">
        <v>0.2</v>
      </c>
    </row>
    <row r="1571" spans="1:7" x14ac:dyDescent="0.3">
      <c r="A1571" s="19">
        <v>2069</v>
      </c>
      <c r="B1571" s="19" t="s">
        <v>2547</v>
      </c>
      <c r="C1571" s="19" t="s">
        <v>899</v>
      </c>
      <c r="D1571" s="19" t="s">
        <v>1045</v>
      </c>
      <c r="E1571" s="19" t="s">
        <v>1118</v>
      </c>
      <c r="F1571" s="19">
        <v>0</v>
      </c>
      <c r="G1571" s="43">
        <v>0.2</v>
      </c>
    </row>
    <row r="1572" spans="1:7" x14ac:dyDescent="0.3">
      <c r="A1572" s="19">
        <v>1675</v>
      </c>
      <c r="B1572" s="19" t="s">
        <v>2548</v>
      </c>
      <c r="C1572" s="19" t="s">
        <v>899</v>
      </c>
      <c r="D1572" s="19" t="s">
        <v>1045</v>
      </c>
      <c r="E1572" s="19" t="s">
        <v>1118</v>
      </c>
      <c r="F1572" s="19">
        <v>0</v>
      </c>
      <c r="G1572" s="43">
        <v>0.12</v>
      </c>
    </row>
    <row r="1573" spans="1:7" x14ac:dyDescent="0.3">
      <c r="A1573" s="19">
        <v>1645</v>
      </c>
      <c r="B1573" s="19" t="s">
        <v>2549</v>
      </c>
      <c r="C1573" s="19" t="s">
        <v>899</v>
      </c>
      <c r="D1573" s="19" t="s">
        <v>1045</v>
      </c>
      <c r="E1573" s="19" t="s">
        <v>1118</v>
      </c>
      <c r="F1573" s="19">
        <v>0</v>
      </c>
      <c r="G1573" s="43">
        <v>0.12</v>
      </c>
    </row>
    <row r="1574" spans="1:7" x14ac:dyDescent="0.3">
      <c r="A1574" s="19">
        <v>2535</v>
      </c>
      <c r="B1574" s="19" t="s">
        <v>2550</v>
      </c>
      <c r="C1574" s="19" t="s">
        <v>899</v>
      </c>
      <c r="D1574" s="19" t="s">
        <v>1045</v>
      </c>
      <c r="E1574" s="19" t="s">
        <v>1118</v>
      </c>
      <c r="F1574" s="19">
        <v>0</v>
      </c>
      <c r="G1574" s="43">
        <v>0.12</v>
      </c>
    </row>
    <row r="1575" spans="1:7" x14ac:dyDescent="0.3">
      <c r="A1575" s="19">
        <v>972</v>
      </c>
      <c r="B1575" s="19" t="s">
        <v>2551</v>
      </c>
      <c r="C1575" s="19" t="s">
        <v>899</v>
      </c>
      <c r="D1575" s="19" t="s">
        <v>1045</v>
      </c>
      <c r="E1575" s="19" t="s">
        <v>1118</v>
      </c>
      <c r="F1575" s="19">
        <v>0</v>
      </c>
      <c r="G1575" s="43">
        <v>0.2</v>
      </c>
    </row>
    <row r="1576" spans="1:7" x14ac:dyDescent="0.3">
      <c r="A1576" s="19">
        <v>1001</v>
      </c>
      <c r="B1576" s="19" t="s">
        <v>2552</v>
      </c>
      <c r="C1576" s="19" t="s">
        <v>899</v>
      </c>
      <c r="D1576" s="19" t="s">
        <v>1045</v>
      </c>
      <c r="E1576" s="19" t="s">
        <v>1118</v>
      </c>
      <c r="F1576" s="19">
        <v>0</v>
      </c>
      <c r="G1576" s="43">
        <v>0.12</v>
      </c>
    </row>
    <row r="1577" spans="1:7" x14ac:dyDescent="0.3">
      <c r="A1577" s="19">
        <v>2733</v>
      </c>
      <c r="B1577" s="19" t="s">
        <v>2553</v>
      </c>
      <c r="C1577" s="19" t="s">
        <v>899</v>
      </c>
      <c r="D1577" s="19" t="s">
        <v>1045</v>
      </c>
      <c r="E1577" s="19" t="s">
        <v>1118</v>
      </c>
      <c r="F1577" s="19">
        <v>0</v>
      </c>
      <c r="G1577" s="43">
        <v>0.12</v>
      </c>
    </row>
    <row r="1578" spans="1:7" x14ac:dyDescent="0.3">
      <c r="A1578" s="19">
        <v>2045</v>
      </c>
      <c r="B1578" s="19" t="s">
        <v>2554</v>
      </c>
      <c r="C1578" s="19" t="s">
        <v>899</v>
      </c>
      <c r="D1578" s="19" t="s">
        <v>1045</v>
      </c>
      <c r="E1578" s="19" t="s">
        <v>1118</v>
      </c>
      <c r="F1578" s="19">
        <v>0</v>
      </c>
      <c r="G1578" s="43">
        <v>0.12</v>
      </c>
    </row>
    <row r="1579" spans="1:7" x14ac:dyDescent="0.3">
      <c r="A1579" s="19">
        <v>2729</v>
      </c>
      <c r="B1579" s="19" t="s">
        <v>2555</v>
      </c>
      <c r="C1579" s="19" t="s">
        <v>899</v>
      </c>
      <c r="D1579" s="19" t="s">
        <v>1045</v>
      </c>
      <c r="E1579" s="19" t="s">
        <v>1118</v>
      </c>
      <c r="F1579" s="19">
        <v>0</v>
      </c>
      <c r="G1579" s="43">
        <v>0.12</v>
      </c>
    </row>
    <row r="1580" spans="1:7" x14ac:dyDescent="0.3">
      <c r="A1580" s="19">
        <v>1265</v>
      </c>
      <c r="B1580" s="19" t="s">
        <v>2556</v>
      </c>
      <c r="C1580" s="19" t="s">
        <v>899</v>
      </c>
      <c r="D1580" s="19" t="s">
        <v>1045</v>
      </c>
      <c r="E1580" s="19" t="s">
        <v>1118</v>
      </c>
      <c r="F1580" s="19">
        <v>0</v>
      </c>
      <c r="G1580" s="43">
        <v>0.12</v>
      </c>
    </row>
    <row r="1581" spans="1:7" x14ac:dyDescent="0.3">
      <c r="A1581" s="19">
        <v>2078</v>
      </c>
      <c r="B1581" s="19" t="s">
        <v>2557</v>
      </c>
      <c r="C1581" s="19" t="s">
        <v>899</v>
      </c>
      <c r="D1581" s="19" t="s">
        <v>1045</v>
      </c>
      <c r="E1581" s="19" t="s">
        <v>1118</v>
      </c>
      <c r="F1581" s="19">
        <v>0</v>
      </c>
      <c r="G1581" s="43">
        <v>0.12</v>
      </c>
    </row>
    <row r="1582" spans="1:7" x14ac:dyDescent="0.3">
      <c r="A1582" s="19">
        <v>1646</v>
      </c>
      <c r="B1582" s="19" t="s">
        <v>2558</v>
      </c>
      <c r="C1582" s="19" t="s">
        <v>899</v>
      </c>
      <c r="D1582" s="19" t="s">
        <v>1045</v>
      </c>
      <c r="E1582" s="19" t="s">
        <v>1118</v>
      </c>
      <c r="F1582" s="19">
        <v>0</v>
      </c>
      <c r="G1582" s="43">
        <v>0.12</v>
      </c>
    </row>
    <row r="1583" spans="1:7" x14ac:dyDescent="0.3">
      <c r="A1583" s="19">
        <v>2408</v>
      </c>
      <c r="B1583" s="19" t="s">
        <v>2559</v>
      </c>
      <c r="C1583" s="19" t="s">
        <v>899</v>
      </c>
      <c r="D1583" s="19" t="s">
        <v>1045</v>
      </c>
      <c r="E1583" s="19" t="s">
        <v>1118</v>
      </c>
      <c r="F1583" s="19">
        <v>0</v>
      </c>
      <c r="G1583" s="43">
        <v>0.12</v>
      </c>
    </row>
    <row r="1584" spans="1:7" x14ac:dyDescent="0.3">
      <c r="A1584" s="19">
        <v>1647</v>
      </c>
      <c r="B1584" s="19" t="s">
        <v>2560</v>
      </c>
      <c r="C1584" s="19" t="s">
        <v>899</v>
      </c>
      <c r="D1584" s="19" t="s">
        <v>1045</v>
      </c>
      <c r="E1584" s="19" t="s">
        <v>1118</v>
      </c>
      <c r="F1584" s="19">
        <v>0</v>
      </c>
      <c r="G1584" s="43">
        <v>0.12</v>
      </c>
    </row>
    <row r="1585" spans="1:7" x14ac:dyDescent="0.3">
      <c r="A1585" s="19">
        <v>2098</v>
      </c>
      <c r="B1585" s="19" t="s">
        <v>2561</v>
      </c>
      <c r="C1585" s="19" t="s">
        <v>899</v>
      </c>
      <c r="D1585" s="19" t="s">
        <v>1045</v>
      </c>
      <c r="E1585" s="19" t="s">
        <v>1118</v>
      </c>
      <c r="F1585" s="19">
        <v>0</v>
      </c>
      <c r="G1585" s="43">
        <v>0.12</v>
      </c>
    </row>
    <row r="1586" spans="1:7" x14ac:dyDescent="0.3">
      <c r="A1586" s="19">
        <v>1676</v>
      </c>
      <c r="B1586" s="19" t="s">
        <v>2562</v>
      </c>
      <c r="C1586" s="19" t="s">
        <v>899</v>
      </c>
      <c r="D1586" s="19" t="s">
        <v>1045</v>
      </c>
      <c r="E1586" s="19" t="s">
        <v>1118</v>
      </c>
      <c r="F1586" s="19">
        <v>0</v>
      </c>
      <c r="G1586" s="43">
        <v>0.12</v>
      </c>
    </row>
    <row r="1587" spans="1:7" x14ac:dyDescent="0.3">
      <c r="A1587" s="19">
        <v>2220</v>
      </c>
      <c r="B1587" s="19" t="s">
        <v>2563</v>
      </c>
      <c r="C1587" s="19" t="s">
        <v>899</v>
      </c>
      <c r="D1587" s="19" t="s">
        <v>1045</v>
      </c>
      <c r="E1587" s="19" t="s">
        <v>1118</v>
      </c>
      <c r="F1587" s="19">
        <v>0</v>
      </c>
      <c r="G1587" s="43">
        <v>0.27</v>
      </c>
    </row>
    <row r="1588" spans="1:7" x14ac:dyDescent="0.3">
      <c r="A1588" s="19">
        <v>2019</v>
      </c>
      <c r="B1588" s="19" t="s">
        <v>2564</v>
      </c>
      <c r="C1588" s="19" t="s">
        <v>899</v>
      </c>
      <c r="D1588" s="19" t="s">
        <v>1045</v>
      </c>
      <c r="E1588" s="19" t="s">
        <v>1118</v>
      </c>
      <c r="F1588" s="19">
        <v>0</v>
      </c>
      <c r="G1588" s="43">
        <v>0.24</v>
      </c>
    </row>
    <row r="1589" spans="1:7" x14ac:dyDescent="0.3">
      <c r="A1589" s="19">
        <v>542</v>
      </c>
      <c r="B1589" s="19" t="s">
        <v>2565</v>
      </c>
      <c r="C1589" s="19" t="s">
        <v>899</v>
      </c>
      <c r="D1589" s="19" t="s">
        <v>1045</v>
      </c>
      <c r="E1589" s="19" t="s">
        <v>1118</v>
      </c>
      <c r="F1589" s="19">
        <v>0</v>
      </c>
      <c r="G1589" s="43">
        <v>1.17</v>
      </c>
    </row>
    <row r="1590" spans="1:7" x14ac:dyDescent="0.3">
      <c r="A1590" s="19">
        <v>1730</v>
      </c>
      <c r="B1590" s="19" t="s">
        <v>2566</v>
      </c>
      <c r="C1590" s="19" t="s">
        <v>899</v>
      </c>
      <c r="D1590" s="19" t="s">
        <v>1045</v>
      </c>
      <c r="E1590" s="19" t="s">
        <v>1118</v>
      </c>
      <c r="F1590" s="19">
        <v>0</v>
      </c>
      <c r="G1590" s="43">
        <v>1.17</v>
      </c>
    </row>
    <row r="1591" spans="1:7" x14ac:dyDescent="0.3">
      <c r="A1591" s="19">
        <v>541</v>
      </c>
      <c r="B1591" s="19" t="s">
        <v>2567</v>
      </c>
      <c r="C1591" s="19" t="s">
        <v>899</v>
      </c>
      <c r="D1591" s="19" t="s">
        <v>1045</v>
      </c>
      <c r="E1591" s="19" t="s">
        <v>1118</v>
      </c>
      <c r="F1591" s="19">
        <v>0</v>
      </c>
      <c r="G1591" s="43">
        <v>1.17</v>
      </c>
    </row>
    <row r="1592" spans="1:7" x14ac:dyDescent="0.3">
      <c r="A1592" s="19">
        <v>2144</v>
      </c>
      <c r="B1592" s="19" t="s">
        <v>2568</v>
      </c>
      <c r="C1592" s="19" t="s">
        <v>899</v>
      </c>
      <c r="D1592" s="19" t="s">
        <v>1045</v>
      </c>
      <c r="E1592" s="19" t="s">
        <v>1118</v>
      </c>
      <c r="F1592" s="19">
        <v>0</v>
      </c>
      <c r="G1592" s="43">
        <v>1.17</v>
      </c>
    </row>
    <row r="1593" spans="1:7" x14ac:dyDescent="0.3">
      <c r="A1593" s="19">
        <v>2225</v>
      </c>
      <c r="B1593" s="19" t="s">
        <v>2569</v>
      </c>
      <c r="C1593" s="19" t="s">
        <v>899</v>
      </c>
      <c r="D1593" s="19" t="s">
        <v>1045</v>
      </c>
      <c r="E1593" s="19" t="s">
        <v>1118</v>
      </c>
      <c r="F1593" s="19">
        <v>0</v>
      </c>
      <c r="G1593" s="43">
        <v>0.24</v>
      </c>
    </row>
    <row r="1594" spans="1:7" x14ac:dyDescent="0.3">
      <c r="A1594" s="19">
        <v>2145</v>
      </c>
      <c r="B1594" s="19" t="s">
        <v>2570</v>
      </c>
      <c r="C1594" s="19" t="s">
        <v>899</v>
      </c>
      <c r="D1594" s="19" t="s">
        <v>1045</v>
      </c>
      <c r="E1594" s="19" t="s">
        <v>1118</v>
      </c>
      <c r="F1594" s="19">
        <v>0</v>
      </c>
      <c r="G1594" s="43">
        <v>1.17</v>
      </c>
    </row>
    <row r="1595" spans="1:7" x14ac:dyDescent="0.3">
      <c r="A1595" s="19">
        <v>2143</v>
      </c>
      <c r="B1595" s="19" t="s">
        <v>2571</v>
      </c>
      <c r="C1595" s="19" t="s">
        <v>899</v>
      </c>
      <c r="D1595" s="19" t="s">
        <v>1045</v>
      </c>
      <c r="E1595" s="19" t="s">
        <v>1118</v>
      </c>
      <c r="F1595" s="19">
        <v>0</v>
      </c>
      <c r="G1595" s="43">
        <v>1.17</v>
      </c>
    </row>
    <row r="1596" spans="1:7" x14ac:dyDescent="0.3">
      <c r="A1596" s="19">
        <v>1579</v>
      </c>
      <c r="B1596" s="19" t="s">
        <v>2572</v>
      </c>
      <c r="C1596" s="19" t="s">
        <v>899</v>
      </c>
      <c r="D1596" s="19" t="s">
        <v>1045</v>
      </c>
      <c r="E1596" s="19" t="s">
        <v>1118</v>
      </c>
      <c r="F1596" s="19">
        <v>0</v>
      </c>
      <c r="G1596" s="43">
        <v>0.12</v>
      </c>
    </row>
    <row r="1597" spans="1:7" x14ac:dyDescent="0.3">
      <c r="A1597" s="19">
        <v>2625</v>
      </c>
      <c r="B1597" s="19" t="s">
        <v>2573</v>
      </c>
      <c r="C1597" s="19" t="s">
        <v>899</v>
      </c>
      <c r="D1597" s="19" t="s">
        <v>1045</v>
      </c>
      <c r="E1597" s="19" t="s">
        <v>1118</v>
      </c>
      <c r="F1597" s="19">
        <v>0</v>
      </c>
      <c r="G1597" s="43">
        <v>0.12</v>
      </c>
    </row>
    <row r="1598" spans="1:7" x14ac:dyDescent="0.3">
      <c r="A1598" s="19">
        <v>1583</v>
      </c>
      <c r="B1598" s="19" t="s">
        <v>2574</v>
      </c>
      <c r="C1598" s="19" t="s">
        <v>899</v>
      </c>
      <c r="D1598" s="19" t="s">
        <v>1045</v>
      </c>
      <c r="E1598" s="19" t="s">
        <v>1118</v>
      </c>
      <c r="F1598" s="19">
        <v>0</v>
      </c>
      <c r="G1598" s="43">
        <v>0.12</v>
      </c>
    </row>
    <row r="1599" spans="1:7" x14ac:dyDescent="0.3">
      <c r="A1599" s="19">
        <v>1580</v>
      </c>
      <c r="B1599" s="19" t="s">
        <v>2575</v>
      </c>
      <c r="C1599" s="19" t="s">
        <v>899</v>
      </c>
      <c r="D1599" s="19" t="s">
        <v>1045</v>
      </c>
      <c r="E1599" s="19" t="s">
        <v>1118</v>
      </c>
      <c r="F1599" s="19">
        <v>0</v>
      </c>
      <c r="G1599" s="43">
        <v>0.12</v>
      </c>
    </row>
    <row r="1600" spans="1:7" x14ac:dyDescent="0.3">
      <c r="A1600" s="19">
        <v>2786</v>
      </c>
      <c r="B1600" s="19" t="s">
        <v>2576</v>
      </c>
      <c r="C1600" s="19" t="s">
        <v>899</v>
      </c>
      <c r="D1600" s="19" t="s">
        <v>1045</v>
      </c>
      <c r="E1600" s="19" t="s">
        <v>1118</v>
      </c>
      <c r="F1600" s="19">
        <v>0</v>
      </c>
      <c r="G1600" s="43">
        <v>0.12</v>
      </c>
    </row>
    <row r="1601" spans="1:7" x14ac:dyDescent="0.3">
      <c r="A1601" s="19">
        <v>2576</v>
      </c>
      <c r="B1601" s="19" t="s">
        <v>2577</v>
      </c>
      <c r="C1601" s="19" t="s">
        <v>899</v>
      </c>
      <c r="D1601" s="19" t="s">
        <v>1045</v>
      </c>
      <c r="E1601" s="19" t="s">
        <v>1118</v>
      </c>
      <c r="F1601" s="19">
        <v>0</v>
      </c>
      <c r="G1601" s="43">
        <v>0.14000000000000001</v>
      </c>
    </row>
    <row r="1602" spans="1:7" x14ac:dyDescent="0.3">
      <c r="A1602" s="19">
        <v>2627</v>
      </c>
      <c r="B1602" s="19" t="s">
        <v>2578</v>
      </c>
      <c r="C1602" s="19" t="s">
        <v>899</v>
      </c>
      <c r="D1602" s="19" t="s">
        <v>1045</v>
      </c>
      <c r="E1602" s="19" t="s">
        <v>1118</v>
      </c>
      <c r="F1602" s="19">
        <v>0</v>
      </c>
      <c r="G1602" s="43">
        <v>0.12</v>
      </c>
    </row>
    <row r="1603" spans="1:7" x14ac:dyDescent="0.3">
      <c r="A1603" s="19">
        <v>1581</v>
      </c>
      <c r="B1603" s="19" t="s">
        <v>2579</v>
      </c>
      <c r="C1603" s="19" t="s">
        <v>899</v>
      </c>
      <c r="D1603" s="19" t="s">
        <v>1045</v>
      </c>
      <c r="E1603" s="19" t="s">
        <v>1118</v>
      </c>
      <c r="F1603" s="19">
        <v>0</v>
      </c>
      <c r="G1603" s="43">
        <v>0.12</v>
      </c>
    </row>
    <row r="1604" spans="1:7" x14ac:dyDescent="0.3">
      <c r="A1604" s="19">
        <v>2787</v>
      </c>
      <c r="B1604" s="19" t="s">
        <v>2580</v>
      </c>
      <c r="C1604" s="19" t="s">
        <v>899</v>
      </c>
      <c r="D1604" s="19" t="s">
        <v>1045</v>
      </c>
      <c r="E1604" s="19" t="s">
        <v>1118</v>
      </c>
      <c r="F1604" s="19">
        <v>0</v>
      </c>
      <c r="G1604" s="43">
        <v>0.12</v>
      </c>
    </row>
    <row r="1605" spans="1:7" x14ac:dyDescent="0.3">
      <c r="A1605" s="19">
        <v>1582</v>
      </c>
      <c r="B1605" s="19" t="s">
        <v>2581</v>
      </c>
      <c r="C1605" s="19" t="s">
        <v>899</v>
      </c>
      <c r="D1605" s="19" t="s">
        <v>1045</v>
      </c>
      <c r="E1605" s="19" t="s">
        <v>1118</v>
      </c>
      <c r="F1605" s="19">
        <v>0</v>
      </c>
      <c r="G1605" s="43">
        <v>0.12</v>
      </c>
    </row>
    <row r="1606" spans="1:7" x14ac:dyDescent="0.3">
      <c r="A1606" s="19">
        <v>2788</v>
      </c>
      <c r="B1606" s="19" t="s">
        <v>2582</v>
      </c>
      <c r="C1606" s="19" t="s">
        <v>899</v>
      </c>
      <c r="D1606" s="19" t="s">
        <v>1045</v>
      </c>
      <c r="E1606" s="19" t="s">
        <v>1118</v>
      </c>
      <c r="F1606" s="19">
        <v>0</v>
      </c>
      <c r="G1606" s="43">
        <v>0.12</v>
      </c>
    </row>
    <row r="1607" spans="1:7" x14ac:dyDescent="0.3">
      <c r="A1607" s="19">
        <v>2101</v>
      </c>
      <c r="B1607" s="19" t="s">
        <v>2583</v>
      </c>
      <c r="C1607" s="19" t="s">
        <v>899</v>
      </c>
      <c r="D1607" s="19" t="s">
        <v>1045</v>
      </c>
      <c r="E1607" s="19" t="s">
        <v>1118</v>
      </c>
      <c r="F1607" s="19">
        <v>0</v>
      </c>
      <c r="G1607" s="43">
        <v>0.12</v>
      </c>
    </row>
    <row r="1608" spans="1:7" x14ac:dyDescent="0.3">
      <c r="A1608" s="19">
        <v>2059</v>
      </c>
      <c r="B1608" s="19" t="s">
        <v>2584</v>
      </c>
      <c r="C1608" s="19" t="s">
        <v>899</v>
      </c>
      <c r="D1608" s="19" t="s">
        <v>1045</v>
      </c>
      <c r="E1608" s="19" t="s">
        <v>1118</v>
      </c>
      <c r="F1608" s="19">
        <v>0</v>
      </c>
      <c r="G1608" s="43">
        <v>0.12</v>
      </c>
    </row>
    <row r="1609" spans="1:7" x14ac:dyDescent="0.3">
      <c r="A1609" s="19">
        <v>2122</v>
      </c>
      <c r="B1609" s="19" t="s">
        <v>2585</v>
      </c>
      <c r="C1609" s="19" t="s">
        <v>899</v>
      </c>
      <c r="D1609" s="19" t="s">
        <v>1045</v>
      </c>
      <c r="E1609" s="19" t="s">
        <v>1118</v>
      </c>
      <c r="F1609" s="19">
        <v>0</v>
      </c>
      <c r="G1609" s="43">
        <v>0.12</v>
      </c>
    </row>
    <row r="1610" spans="1:7" x14ac:dyDescent="0.3">
      <c r="A1610" s="19">
        <v>2139</v>
      </c>
      <c r="B1610" s="19" t="s">
        <v>2586</v>
      </c>
      <c r="C1610" s="19" t="s">
        <v>899</v>
      </c>
      <c r="D1610" s="19" t="s">
        <v>1045</v>
      </c>
      <c r="E1610" s="19" t="s">
        <v>1118</v>
      </c>
      <c r="F1610" s="19">
        <v>0</v>
      </c>
      <c r="G1610" s="43">
        <v>0.12</v>
      </c>
    </row>
    <row r="1611" spans="1:7" x14ac:dyDescent="0.3">
      <c r="A1611" s="19">
        <v>1601</v>
      </c>
      <c r="B1611" s="19" t="s">
        <v>2587</v>
      </c>
      <c r="C1611" s="19" t="s">
        <v>899</v>
      </c>
      <c r="D1611" s="19" t="s">
        <v>1045</v>
      </c>
      <c r="E1611" s="19" t="s">
        <v>1118</v>
      </c>
      <c r="F1611" s="19">
        <v>0</v>
      </c>
      <c r="G1611" s="43">
        <v>1.01</v>
      </c>
    </row>
    <row r="1612" spans="1:7" x14ac:dyDescent="0.3">
      <c r="A1612" s="19">
        <v>1731</v>
      </c>
      <c r="B1612" s="19" t="s">
        <v>2588</v>
      </c>
      <c r="C1612" s="19" t="s">
        <v>899</v>
      </c>
      <c r="D1612" s="19" t="s">
        <v>1045</v>
      </c>
      <c r="E1612" s="19" t="s">
        <v>1118</v>
      </c>
      <c r="F1612" s="19">
        <v>0</v>
      </c>
      <c r="G1612" s="43">
        <v>0.81</v>
      </c>
    </row>
    <row r="1613" spans="1:7" x14ac:dyDescent="0.3">
      <c r="A1613" s="19">
        <v>1732</v>
      </c>
      <c r="B1613" s="19" t="s">
        <v>2589</v>
      </c>
      <c r="C1613" s="19" t="s">
        <v>899</v>
      </c>
      <c r="D1613" s="19" t="s">
        <v>1045</v>
      </c>
      <c r="E1613" s="19" t="s">
        <v>1118</v>
      </c>
      <c r="F1613" s="19">
        <v>0</v>
      </c>
      <c r="G1613" s="43">
        <v>0.81</v>
      </c>
    </row>
    <row r="1614" spans="1:7" x14ac:dyDescent="0.3">
      <c r="A1614" s="19">
        <v>1733</v>
      </c>
      <c r="B1614" s="19" t="s">
        <v>2590</v>
      </c>
      <c r="C1614" s="19" t="s">
        <v>899</v>
      </c>
      <c r="D1614" s="19" t="s">
        <v>1045</v>
      </c>
      <c r="E1614" s="19" t="s">
        <v>1118</v>
      </c>
      <c r="F1614" s="19">
        <v>0</v>
      </c>
      <c r="G1614" s="43">
        <v>0.81</v>
      </c>
    </row>
    <row r="1615" spans="1:7" x14ac:dyDescent="0.3">
      <c r="A1615" s="19">
        <v>2121</v>
      </c>
      <c r="B1615" s="19" t="s">
        <v>2591</v>
      </c>
      <c r="C1615" s="19" t="s">
        <v>899</v>
      </c>
      <c r="D1615" s="19" t="s">
        <v>1045</v>
      </c>
      <c r="E1615" s="19" t="s">
        <v>1118</v>
      </c>
      <c r="F1615" s="19">
        <v>0</v>
      </c>
      <c r="G1615" s="43">
        <v>0.81</v>
      </c>
    </row>
    <row r="1616" spans="1:7" x14ac:dyDescent="0.3">
      <c r="A1616" s="19">
        <v>2129</v>
      </c>
      <c r="B1616" s="19" t="s">
        <v>2592</v>
      </c>
      <c r="C1616" s="19" t="s">
        <v>899</v>
      </c>
      <c r="D1616" s="19" t="s">
        <v>1045</v>
      </c>
      <c r="E1616" s="19" t="s">
        <v>1118</v>
      </c>
      <c r="F1616" s="19">
        <v>0</v>
      </c>
      <c r="G1616" s="43">
        <v>0.81</v>
      </c>
    </row>
    <row r="1617" spans="1:7" x14ac:dyDescent="0.3">
      <c r="A1617" s="19">
        <v>1734</v>
      </c>
      <c r="B1617" s="19" t="s">
        <v>2593</v>
      </c>
      <c r="C1617" s="19" t="s">
        <v>899</v>
      </c>
      <c r="D1617" s="19" t="s">
        <v>1045</v>
      </c>
      <c r="E1617" s="19" t="s">
        <v>1118</v>
      </c>
      <c r="F1617" s="19">
        <v>0</v>
      </c>
      <c r="G1617" s="43">
        <v>0.81</v>
      </c>
    </row>
    <row r="1618" spans="1:7" x14ac:dyDescent="0.3">
      <c r="A1618" s="19">
        <v>2163</v>
      </c>
      <c r="B1618" s="19" t="s">
        <v>2594</v>
      </c>
      <c r="C1618" s="19" t="s">
        <v>899</v>
      </c>
      <c r="D1618" s="19" t="s">
        <v>1045</v>
      </c>
      <c r="E1618" s="19" t="s">
        <v>1118</v>
      </c>
      <c r="F1618" s="19">
        <v>0</v>
      </c>
      <c r="G1618" s="43">
        <v>0.81</v>
      </c>
    </row>
    <row r="1619" spans="1:7" x14ac:dyDescent="0.3">
      <c r="A1619" s="19">
        <v>1735</v>
      </c>
      <c r="B1619" s="19" t="s">
        <v>2595</v>
      </c>
      <c r="C1619" s="19" t="s">
        <v>899</v>
      </c>
      <c r="D1619" s="19" t="s">
        <v>1045</v>
      </c>
      <c r="E1619" s="19" t="s">
        <v>1118</v>
      </c>
      <c r="F1619" s="19">
        <v>0</v>
      </c>
      <c r="G1619" s="43">
        <v>0.81</v>
      </c>
    </row>
    <row r="1620" spans="1:7" x14ac:dyDescent="0.3">
      <c r="A1620" s="19">
        <v>2119</v>
      </c>
      <c r="B1620" s="19" t="s">
        <v>2596</v>
      </c>
      <c r="C1620" s="19" t="s">
        <v>899</v>
      </c>
      <c r="D1620" s="19" t="s">
        <v>1045</v>
      </c>
      <c r="E1620" s="19" t="s">
        <v>1118</v>
      </c>
      <c r="F1620" s="19">
        <v>0</v>
      </c>
      <c r="G1620" s="43">
        <v>0.81</v>
      </c>
    </row>
    <row r="1621" spans="1:7" x14ac:dyDescent="0.3">
      <c r="A1621" s="19">
        <v>2226</v>
      </c>
      <c r="B1621" s="19" t="s">
        <v>2597</v>
      </c>
      <c r="C1621" s="19" t="s">
        <v>899</v>
      </c>
      <c r="D1621" s="19" t="s">
        <v>1045</v>
      </c>
      <c r="E1621" s="19" t="s">
        <v>1118</v>
      </c>
      <c r="F1621" s="19">
        <v>0</v>
      </c>
      <c r="G1621" s="43">
        <v>0.81</v>
      </c>
    </row>
    <row r="1622" spans="1:7" x14ac:dyDescent="0.3">
      <c r="A1622" s="19">
        <v>1736</v>
      </c>
      <c r="B1622" s="19" t="s">
        <v>2598</v>
      </c>
      <c r="C1622" s="19" t="s">
        <v>899</v>
      </c>
      <c r="D1622" s="19" t="s">
        <v>1045</v>
      </c>
      <c r="E1622" s="19" t="s">
        <v>1118</v>
      </c>
      <c r="F1622" s="19">
        <v>0</v>
      </c>
      <c r="G1622" s="43">
        <v>0.81</v>
      </c>
    </row>
    <row r="1623" spans="1:7" x14ac:dyDescent="0.3">
      <c r="A1623" s="19">
        <v>1737</v>
      </c>
      <c r="B1623" s="19" t="s">
        <v>2599</v>
      </c>
      <c r="C1623" s="19" t="s">
        <v>899</v>
      </c>
      <c r="D1623" s="19" t="s">
        <v>1045</v>
      </c>
      <c r="E1623" s="19" t="s">
        <v>1118</v>
      </c>
      <c r="F1623" s="19">
        <v>0</v>
      </c>
      <c r="G1623" s="43">
        <v>0.81</v>
      </c>
    </row>
    <row r="1624" spans="1:7" x14ac:dyDescent="0.3">
      <c r="A1624" s="19">
        <v>2202</v>
      </c>
      <c r="B1624" s="19" t="s">
        <v>2600</v>
      </c>
      <c r="C1624" s="19" t="s">
        <v>899</v>
      </c>
      <c r="D1624" s="19" t="s">
        <v>1045</v>
      </c>
      <c r="E1624" s="19" t="s">
        <v>1118</v>
      </c>
      <c r="F1624" s="19">
        <v>0</v>
      </c>
      <c r="G1624" s="43">
        <v>0.81</v>
      </c>
    </row>
    <row r="1625" spans="1:7" x14ac:dyDescent="0.3">
      <c r="A1625" s="19">
        <v>1830</v>
      </c>
      <c r="B1625" s="19" t="s">
        <v>2601</v>
      </c>
      <c r="C1625" s="19" t="s">
        <v>899</v>
      </c>
      <c r="D1625" s="19" t="s">
        <v>1045</v>
      </c>
      <c r="E1625" s="19" t="s">
        <v>1118</v>
      </c>
      <c r="F1625" s="19">
        <v>0</v>
      </c>
      <c r="G1625" s="43">
        <v>0.12</v>
      </c>
    </row>
    <row r="1626" spans="1:7" x14ac:dyDescent="0.3">
      <c r="A1626" s="19">
        <v>3017</v>
      </c>
      <c r="B1626" s="19" t="s">
        <v>2602</v>
      </c>
      <c r="C1626" s="19" t="s">
        <v>899</v>
      </c>
      <c r="D1626" s="19" t="s">
        <v>1045</v>
      </c>
      <c r="E1626" s="19" t="s">
        <v>1118</v>
      </c>
      <c r="F1626" s="19">
        <v>0</v>
      </c>
      <c r="G1626" s="43">
        <v>0.12</v>
      </c>
    </row>
    <row r="1627" spans="1:7" x14ac:dyDescent="0.3">
      <c r="A1627" s="19">
        <v>2756</v>
      </c>
      <c r="B1627" s="19" t="s">
        <v>2603</v>
      </c>
      <c r="C1627" s="19" t="s">
        <v>899</v>
      </c>
      <c r="D1627" s="19" t="s">
        <v>1045</v>
      </c>
      <c r="E1627" s="19" t="s">
        <v>1118</v>
      </c>
      <c r="F1627" s="19">
        <v>0</v>
      </c>
      <c r="G1627" s="43">
        <v>0.12</v>
      </c>
    </row>
    <row r="1628" spans="1:7" x14ac:dyDescent="0.3">
      <c r="A1628" s="19">
        <v>1956</v>
      </c>
      <c r="B1628" s="19" t="s">
        <v>2604</v>
      </c>
      <c r="C1628" s="19" t="s">
        <v>899</v>
      </c>
      <c r="D1628" s="19" t="s">
        <v>1045</v>
      </c>
      <c r="E1628" s="19" t="s">
        <v>1118</v>
      </c>
      <c r="F1628" s="19">
        <v>0</v>
      </c>
      <c r="G1628" s="43">
        <v>0.12</v>
      </c>
    </row>
    <row r="1629" spans="1:7" x14ac:dyDescent="0.3">
      <c r="A1629" s="19">
        <v>2755</v>
      </c>
      <c r="B1629" s="19" t="s">
        <v>2605</v>
      </c>
      <c r="C1629" s="19" t="s">
        <v>899</v>
      </c>
      <c r="D1629" s="19" t="s">
        <v>1045</v>
      </c>
      <c r="E1629" s="19" t="s">
        <v>1118</v>
      </c>
      <c r="F1629" s="19">
        <v>0</v>
      </c>
      <c r="G1629" s="43">
        <v>0.12</v>
      </c>
    </row>
    <row r="1630" spans="1:7" x14ac:dyDescent="0.3">
      <c r="A1630" s="19">
        <v>1584</v>
      </c>
      <c r="B1630" s="19" t="s">
        <v>2606</v>
      </c>
      <c r="C1630" s="19" t="s">
        <v>899</v>
      </c>
      <c r="D1630" s="19" t="s">
        <v>1045</v>
      </c>
      <c r="E1630" s="19" t="s">
        <v>1118</v>
      </c>
      <c r="F1630" s="19">
        <v>0</v>
      </c>
      <c r="G1630" s="43">
        <v>0.12</v>
      </c>
    </row>
    <row r="1631" spans="1:7" x14ac:dyDescent="0.3">
      <c r="A1631" s="19">
        <v>2737</v>
      </c>
      <c r="B1631" s="19" t="s">
        <v>2607</v>
      </c>
      <c r="C1631" s="19" t="s">
        <v>899</v>
      </c>
      <c r="D1631" s="19" t="s">
        <v>1045</v>
      </c>
      <c r="E1631" s="19" t="s">
        <v>1118</v>
      </c>
      <c r="F1631" s="19">
        <v>0</v>
      </c>
      <c r="G1631" s="43">
        <v>0.12</v>
      </c>
    </row>
    <row r="1632" spans="1:7" x14ac:dyDescent="0.3">
      <c r="A1632" s="19">
        <v>2632</v>
      </c>
      <c r="B1632" s="19" t="s">
        <v>2608</v>
      </c>
      <c r="C1632" s="19" t="s">
        <v>899</v>
      </c>
      <c r="D1632" s="19" t="s">
        <v>1045</v>
      </c>
      <c r="E1632" s="19" t="s">
        <v>1118</v>
      </c>
      <c r="F1632" s="19">
        <v>0</v>
      </c>
      <c r="G1632" s="43">
        <v>0.12</v>
      </c>
    </row>
    <row r="1633" spans="1:7" x14ac:dyDescent="0.3">
      <c r="A1633" s="19">
        <v>1585</v>
      </c>
      <c r="B1633" s="19" t="s">
        <v>2609</v>
      </c>
      <c r="C1633" s="19" t="s">
        <v>899</v>
      </c>
      <c r="D1633" s="19" t="s">
        <v>1045</v>
      </c>
      <c r="E1633" s="19" t="s">
        <v>1118</v>
      </c>
      <c r="F1633" s="19">
        <v>0</v>
      </c>
      <c r="G1633" s="43">
        <v>0.12</v>
      </c>
    </row>
    <row r="1634" spans="1:7" x14ac:dyDescent="0.3">
      <c r="A1634" s="19">
        <v>2739</v>
      </c>
      <c r="B1634" s="19" t="s">
        <v>2610</v>
      </c>
      <c r="C1634" s="19" t="s">
        <v>899</v>
      </c>
      <c r="D1634" s="19" t="s">
        <v>1045</v>
      </c>
      <c r="E1634" s="19" t="s">
        <v>1118</v>
      </c>
      <c r="F1634" s="19">
        <v>0</v>
      </c>
      <c r="G1634" s="43">
        <v>0.12</v>
      </c>
    </row>
    <row r="1635" spans="1:7" x14ac:dyDescent="0.3">
      <c r="A1635" s="19">
        <v>1586</v>
      </c>
      <c r="B1635" s="19" t="s">
        <v>2611</v>
      </c>
      <c r="C1635" s="19" t="s">
        <v>899</v>
      </c>
      <c r="D1635" s="19" t="s">
        <v>1045</v>
      </c>
      <c r="E1635" s="19" t="s">
        <v>1118</v>
      </c>
      <c r="F1635" s="19">
        <v>0</v>
      </c>
      <c r="G1635" s="43">
        <v>0.12</v>
      </c>
    </row>
    <row r="1636" spans="1:7" x14ac:dyDescent="0.3">
      <c r="A1636" s="19">
        <v>2740</v>
      </c>
      <c r="B1636" s="19" t="s">
        <v>2612</v>
      </c>
      <c r="C1636" s="19" t="s">
        <v>899</v>
      </c>
      <c r="D1636" s="19" t="s">
        <v>1045</v>
      </c>
      <c r="E1636" s="19" t="s">
        <v>1118</v>
      </c>
      <c r="F1636" s="19">
        <v>0</v>
      </c>
      <c r="G1636" s="43">
        <v>0.12</v>
      </c>
    </row>
    <row r="1637" spans="1:7" x14ac:dyDescent="0.3">
      <c r="A1637" s="19">
        <v>1587</v>
      </c>
      <c r="B1637" s="19" t="s">
        <v>2613</v>
      </c>
      <c r="C1637" s="19" t="s">
        <v>899</v>
      </c>
      <c r="D1637" s="19" t="s">
        <v>1045</v>
      </c>
      <c r="E1637" s="19" t="s">
        <v>1118</v>
      </c>
      <c r="F1637" s="19">
        <v>0</v>
      </c>
      <c r="G1637" s="43">
        <v>0.12</v>
      </c>
    </row>
    <row r="1638" spans="1:7" x14ac:dyDescent="0.3">
      <c r="A1638" s="19">
        <v>2741</v>
      </c>
      <c r="B1638" s="19" t="s">
        <v>2614</v>
      </c>
      <c r="C1638" s="19" t="s">
        <v>899</v>
      </c>
      <c r="D1638" s="19" t="s">
        <v>1045</v>
      </c>
      <c r="E1638" s="19" t="s">
        <v>1118</v>
      </c>
      <c r="F1638" s="19">
        <v>0</v>
      </c>
      <c r="G1638" s="43">
        <v>0.12</v>
      </c>
    </row>
    <row r="1639" spans="1:7" x14ac:dyDescent="0.3">
      <c r="A1639" s="19">
        <v>1588</v>
      </c>
      <c r="B1639" s="19" t="s">
        <v>2615</v>
      </c>
      <c r="C1639" s="19" t="s">
        <v>899</v>
      </c>
      <c r="D1639" s="19" t="s">
        <v>1045</v>
      </c>
      <c r="E1639" s="19" t="s">
        <v>1118</v>
      </c>
      <c r="F1639" s="19">
        <v>0</v>
      </c>
      <c r="G1639" s="43">
        <v>0.12</v>
      </c>
    </row>
    <row r="1640" spans="1:7" x14ac:dyDescent="0.3">
      <c r="A1640" s="19">
        <v>2743</v>
      </c>
      <c r="B1640" s="19" t="s">
        <v>2616</v>
      </c>
      <c r="C1640" s="19" t="s">
        <v>899</v>
      </c>
      <c r="D1640" s="19" t="s">
        <v>1045</v>
      </c>
      <c r="E1640" s="19" t="s">
        <v>1118</v>
      </c>
      <c r="F1640" s="19">
        <v>0</v>
      </c>
      <c r="G1640" s="43">
        <v>0.12</v>
      </c>
    </row>
    <row r="1641" spans="1:7" x14ac:dyDescent="0.3">
      <c r="A1641" s="19">
        <v>2532</v>
      </c>
      <c r="B1641" s="19" t="s">
        <v>2617</v>
      </c>
      <c r="C1641" s="19" t="s">
        <v>899</v>
      </c>
      <c r="D1641" s="19" t="s">
        <v>1045</v>
      </c>
      <c r="E1641" s="19" t="s">
        <v>1118</v>
      </c>
      <c r="F1641" s="19">
        <v>0</v>
      </c>
      <c r="G1641" s="43">
        <v>0.12</v>
      </c>
    </row>
    <row r="1642" spans="1:7" x14ac:dyDescent="0.3">
      <c r="A1642" s="19">
        <v>2738</v>
      </c>
      <c r="B1642" s="19" t="s">
        <v>2618</v>
      </c>
      <c r="C1642" s="19" t="s">
        <v>899</v>
      </c>
      <c r="D1642" s="19" t="s">
        <v>1045</v>
      </c>
      <c r="E1642" s="19" t="s">
        <v>1118</v>
      </c>
      <c r="F1642" s="19">
        <v>0</v>
      </c>
      <c r="G1642" s="43">
        <v>0.12</v>
      </c>
    </row>
    <row r="1643" spans="1:7" x14ac:dyDescent="0.3">
      <c r="A1643" s="19">
        <v>1589</v>
      </c>
      <c r="B1643" s="19" t="s">
        <v>2619</v>
      </c>
      <c r="C1643" s="19" t="s">
        <v>899</v>
      </c>
      <c r="D1643" s="19" t="s">
        <v>1045</v>
      </c>
      <c r="E1643" s="19" t="s">
        <v>1118</v>
      </c>
      <c r="F1643" s="19">
        <v>0</v>
      </c>
      <c r="G1643" s="43">
        <v>0.12</v>
      </c>
    </row>
    <row r="1644" spans="1:7" x14ac:dyDescent="0.3">
      <c r="A1644" s="19">
        <v>2742</v>
      </c>
      <c r="B1644" s="19" t="s">
        <v>2620</v>
      </c>
      <c r="C1644" s="19" t="s">
        <v>899</v>
      </c>
      <c r="D1644" s="19" t="s">
        <v>1045</v>
      </c>
      <c r="E1644" s="19" t="s">
        <v>1118</v>
      </c>
      <c r="F1644" s="19">
        <v>0</v>
      </c>
      <c r="G1644" s="43">
        <v>0.2</v>
      </c>
    </row>
    <row r="1645" spans="1:7" x14ac:dyDescent="0.3">
      <c r="A1645" s="19">
        <v>1590</v>
      </c>
      <c r="B1645" s="19" t="s">
        <v>2621</v>
      </c>
      <c r="C1645" s="19" t="s">
        <v>899</v>
      </c>
      <c r="D1645" s="19" t="s">
        <v>1045</v>
      </c>
      <c r="E1645" s="19" t="s">
        <v>1118</v>
      </c>
      <c r="F1645" s="19">
        <v>0</v>
      </c>
      <c r="G1645" s="43">
        <v>0.12</v>
      </c>
    </row>
    <row r="1646" spans="1:7" x14ac:dyDescent="0.3">
      <c r="A1646" s="19">
        <v>2744</v>
      </c>
      <c r="B1646" s="19" t="s">
        <v>2622</v>
      </c>
      <c r="C1646" s="19" t="s">
        <v>899</v>
      </c>
      <c r="D1646" s="19" t="s">
        <v>1045</v>
      </c>
      <c r="E1646" s="19" t="s">
        <v>1118</v>
      </c>
      <c r="F1646" s="19">
        <v>0</v>
      </c>
      <c r="G1646" s="43">
        <v>0.12</v>
      </c>
    </row>
    <row r="1647" spans="1:7" x14ac:dyDescent="0.3">
      <c r="A1647" s="19">
        <v>1591</v>
      </c>
      <c r="B1647" s="19" t="s">
        <v>2623</v>
      </c>
      <c r="C1647" s="19" t="s">
        <v>899</v>
      </c>
      <c r="D1647" s="19" t="s">
        <v>1045</v>
      </c>
      <c r="E1647" s="19" t="s">
        <v>1118</v>
      </c>
      <c r="F1647" s="19">
        <v>0</v>
      </c>
      <c r="G1647" s="43">
        <v>0.12</v>
      </c>
    </row>
    <row r="1648" spans="1:7" x14ac:dyDescent="0.3">
      <c r="A1648" s="19">
        <v>2745</v>
      </c>
      <c r="B1648" s="19" t="s">
        <v>2624</v>
      </c>
      <c r="C1648" s="19" t="s">
        <v>899</v>
      </c>
      <c r="D1648" s="19" t="s">
        <v>1045</v>
      </c>
      <c r="E1648" s="19" t="s">
        <v>1118</v>
      </c>
      <c r="F1648" s="19">
        <v>0</v>
      </c>
      <c r="G1648" s="43">
        <v>0.2</v>
      </c>
    </row>
    <row r="1649" spans="1:7" x14ac:dyDescent="0.3">
      <c r="A1649" s="19">
        <v>1592</v>
      </c>
      <c r="B1649" s="19" t="s">
        <v>2625</v>
      </c>
      <c r="C1649" s="19" t="s">
        <v>899</v>
      </c>
      <c r="D1649" s="19" t="s">
        <v>1045</v>
      </c>
      <c r="E1649" s="19" t="s">
        <v>1118</v>
      </c>
      <c r="F1649" s="19">
        <v>0</v>
      </c>
      <c r="G1649" s="43">
        <v>0.12</v>
      </c>
    </row>
    <row r="1650" spans="1:7" x14ac:dyDescent="0.3">
      <c r="A1650" s="19">
        <v>2746</v>
      </c>
      <c r="B1650" s="19" t="s">
        <v>2626</v>
      </c>
      <c r="C1650" s="19" t="s">
        <v>899</v>
      </c>
      <c r="D1650" s="19" t="s">
        <v>1045</v>
      </c>
      <c r="E1650" s="19" t="s">
        <v>1118</v>
      </c>
      <c r="F1650" s="19">
        <v>0</v>
      </c>
      <c r="G1650" s="43">
        <v>0.12</v>
      </c>
    </row>
    <row r="1651" spans="1:7" x14ac:dyDescent="0.3">
      <c r="A1651" s="19">
        <v>1593</v>
      </c>
      <c r="B1651" s="19" t="s">
        <v>2627</v>
      </c>
      <c r="C1651" s="19" t="s">
        <v>899</v>
      </c>
      <c r="D1651" s="19" t="s">
        <v>1045</v>
      </c>
      <c r="E1651" s="19" t="s">
        <v>1118</v>
      </c>
      <c r="F1651" s="19">
        <v>0</v>
      </c>
      <c r="G1651" s="43">
        <v>0.12</v>
      </c>
    </row>
    <row r="1652" spans="1:7" x14ac:dyDescent="0.3">
      <c r="A1652" s="19">
        <v>2747</v>
      </c>
      <c r="B1652" s="19" t="s">
        <v>2628</v>
      </c>
      <c r="C1652" s="19" t="s">
        <v>899</v>
      </c>
      <c r="D1652" s="19" t="s">
        <v>1045</v>
      </c>
      <c r="E1652" s="19" t="s">
        <v>1118</v>
      </c>
      <c r="F1652" s="19">
        <v>0</v>
      </c>
      <c r="G1652" s="43">
        <v>0.12</v>
      </c>
    </row>
    <row r="1653" spans="1:7" x14ac:dyDescent="0.3">
      <c r="A1653" s="19">
        <v>1594</v>
      </c>
      <c r="B1653" s="19" t="s">
        <v>2629</v>
      </c>
      <c r="C1653" s="19" t="s">
        <v>899</v>
      </c>
      <c r="D1653" s="19" t="s">
        <v>1045</v>
      </c>
      <c r="E1653" s="19" t="s">
        <v>1118</v>
      </c>
      <c r="F1653" s="19">
        <v>0</v>
      </c>
      <c r="G1653" s="43">
        <v>0.12</v>
      </c>
    </row>
    <row r="1654" spans="1:7" x14ac:dyDescent="0.3">
      <c r="A1654" s="19">
        <v>2748</v>
      </c>
      <c r="B1654" s="19" t="s">
        <v>2630</v>
      </c>
      <c r="C1654" s="19" t="s">
        <v>899</v>
      </c>
      <c r="D1654" s="19" t="s">
        <v>1045</v>
      </c>
      <c r="E1654" s="19" t="s">
        <v>1118</v>
      </c>
      <c r="F1654" s="19">
        <v>0</v>
      </c>
      <c r="G1654" s="43">
        <v>0.12</v>
      </c>
    </row>
    <row r="1655" spans="1:7" x14ac:dyDescent="0.3">
      <c r="A1655" s="19">
        <v>1834</v>
      </c>
      <c r="B1655" s="19" t="s">
        <v>2631</v>
      </c>
      <c r="C1655" s="19" t="s">
        <v>899</v>
      </c>
      <c r="D1655" s="19" t="s">
        <v>1045</v>
      </c>
      <c r="E1655" s="19" t="s">
        <v>1118</v>
      </c>
      <c r="F1655" s="19">
        <v>0</v>
      </c>
      <c r="G1655" s="43">
        <v>0.12</v>
      </c>
    </row>
    <row r="1656" spans="1:7" x14ac:dyDescent="0.3">
      <c r="A1656" s="19">
        <v>2749</v>
      </c>
      <c r="B1656" s="19" t="s">
        <v>2632</v>
      </c>
      <c r="C1656" s="19" t="s">
        <v>899</v>
      </c>
      <c r="D1656" s="19" t="s">
        <v>1045</v>
      </c>
      <c r="E1656" s="19" t="s">
        <v>1118</v>
      </c>
      <c r="F1656" s="19">
        <v>0</v>
      </c>
      <c r="G1656" s="43">
        <v>0.12</v>
      </c>
    </row>
    <row r="1657" spans="1:7" x14ac:dyDescent="0.3">
      <c r="A1657" s="19">
        <v>1836</v>
      </c>
      <c r="B1657" s="19" t="s">
        <v>2633</v>
      </c>
      <c r="C1657" s="19" t="s">
        <v>899</v>
      </c>
      <c r="D1657" s="19" t="s">
        <v>1045</v>
      </c>
      <c r="E1657" s="19" t="s">
        <v>1118</v>
      </c>
      <c r="F1657" s="19">
        <v>0</v>
      </c>
      <c r="G1657" s="43">
        <v>0.12</v>
      </c>
    </row>
    <row r="1658" spans="1:7" x14ac:dyDescent="0.3">
      <c r="A1658" s="19">
        <v>2750</v>
      </c>
      <c r="B1658" s="19" t="s">
        <v>2634</v>
      </c>
      <c r="C1658" s="19" t="s">
        <v>899</v>
      </c>
      <c r="D1658" s="19" t="s">
        <v>1045</v>
      </c>
      <c r="E1658" s="19" t="s">
        <v>1118</v>
      </c>
      <c r="F1658" s="19">
        <v>0</v>
      </c>
      <c r="G1658" s="43">
        <v>0.12</v>
      </c>
    </row>
    <row r="1659" spans="1:7" x14ac:dyDescent="0.3">
      <c r="A1659" s="19">
        <v>1837</v>
      </c>
      <c r="B1659" s="19" t="s">
        <v>2635</v>
      </c>
      <c r="C1659" s="19" t="s">
        <v>899</v>
      </c>
      <c r="D1659" s="19" t="s">
        <v>1045</v>
      </c>
      <c r="E1659" s="19" t="s">
        <v>1118</v>
      </c>
      <c r="F1659" s="19">
        <v>0</v>
      </c>
      <c r="G1659" s="43">
        <v>0.12</v>
      </c>
    </row>
    <row r="1660" spans="1:7" x14ac:dyDescent="0.3">
      <c r="A1660" s="19">
        <v>2751</v>
      </c>
      <c r="B1660" s="19" t="s">
        <v>2636</v>
      </c>
      <c r="C1660" s="19" t="s">
        <v>899</v>
      </c>
      <c r="D1660" s="19" t="s">
        <v>1045</v>
      </c>
      <c r="E1660" s="19" t="s">
        <v>1118</v>
      </c>
      <c r="F1660" s="19">
        <v>0</v>
      </c>
      <c r="G1660" s="43">
        <v>0.12</v>
      </c>
    </row>
    <row r="1661" spans="1:7" x14ac:dyDescent="0.3">
      <c r="A1661" s="19">
        <v>1840</v>
      </c>
      <c r="B1661" s="19" t="s">
        <v>2637</v>
      </c>
      <c r="C1661" s="19" t="s">
        <v>899</v>
      </c>
      <c r="D1661" s="19" t="s">
        <v>1045</v>
      </c>
      <c r="E1661" s="19" t="s">
        <v>1118</v>
      </c>
      <c r="F1661" s="19">
        <v>0</v>
      </c>
      <c r="G1661" s="43">
        <v>0.12</v>
      </c>
    </row>
    <row r="1662" spans="1:7" x14ac:dyDescent="0.3">
      <c r="A1662" s="19">
        <v>2752</v>
      </c>
      <c r="B1662" s="19" t="s">
        <v>2638</v>
      </c>
      <c r="C1662" s="19" t="s">
        <v>899</v>
      </c>
      <c r="D1662" s="19" t="s">
        <v>1045</v>
      </c>
      <c r="E1662" s="19" t="s">
        <v>1118</v>
      </c>
      <c r="F1662" s="19">
        <v>0</v>
      </c>
      <c r="G1662" s="43">
        <v>0.12</v>
      </c>
    </row>
    <row r="1663" spans="1:7" x14ac:dyDescent="0.3">
      <c r="A1663" s="19">
        <v>2533</v>
      </c>
      <c r="B1663" s="19" t="s">
        <v>2639</v>
      </c>
      <c r="C1663" s="19" t="s">
        <v>899</v>
      </c>
      <c r="D1663" s="19" t="s">
        <v>1045</v>
      </c>
      <c r="E1663" s="19" t="s">
        <v>1118</v>
      </c>
      <c r="F1663" s="19">
        <v>0</v>
      </c>
      <c r="G1663" s="43">
        <v>0.2</v>
      </c>
    </row>
    <row r="1664" spans="1:7" x14ac:dyDescent="0.3">
      <c r="A1664" s="19">
        <v>2753</v>
      </c>
      <c r="B1664" s="19" t="s">
        <v>2640</v>
      </c>
      <c r="C1664" s="19" t="s">
        <v>899</v>
      </c>
      <c r="D1664" s="19" t="s">
        <v>1045</v>
      </c>
      <c r="E1664" s="19" t="s">
        <v>1118</v>
      </c>
      <c r="F1664" s="19">
        <v>0</v>
      </c>
      <c r="G1664" s="43">
        <v>0.2</v>
      </c>
    </row>
    <row r="1665" spans="1:7" x14ac:dyDescent="0.3">
      <c r="A1665" s="19">
        <v>1595</v>
      </c>
      <c r="B1665" s="19" t="s">
        <v>2641</v>
      </c>
      <c r="C1665" s="19" t="s">
        <v>899</v>
      </c>
      <c r="D1665" s="19" t="s">
        <v>1045</v>
      </c>
      <c r="E1665" s="19" t="s">
        <v>1118</v>
      </c>
      <c r="F1665" s="19">
        <v>0</v>
      </c>
      <c r="G1665" s="43">
        <v>0.12</v>
      </c>
    </row>
    <row r="1666" spans="1:7" x14ac:dyDescent="0.3">
      <c r="A1666" s="19">
        <v>2754</v>
      </c>
      <c r="B1666" s="19" t="s">
        <v>2642</v>
      </c>
      <c r="C1666" s="19" t="s">
        <v>899</v>
      </c>
      <c r="D1666" s="19" t="s">
        <v>1045</v>
      </c>
      <c r="E1666" s="19" t="s">
        <v>1118</v>
      </c>
      <c r="F1666" s="19">
        <v>0</v>
      </c>
      <c r="G1666" s="43">
        <v>0.12</v>
      </c>
    </row>
    <row r="1667" spans="1:7" x14ac:dyDescent="0.3">
      <c r="A1667" s="19">
        <v>3990</v>
      </c>
      <c r="B1667" s="19" t="s">
        <v>2643</v>
      </c>
      <c r="C1667" s="19" t="s">
        <v>899</v>
      </c>
      <c r="D1667" s="19" t="s">
        <v>1045</v>
      </c>
      <c r="E1667" s="19" t="s">
        <v>1118</v>
      </c>
      <c r="F1667" s="19">
        <v>0</v>
      </c>
      <c r="G1667" s="43">
        <v>0.34</v>
      </c>
    </row>
    <row r="1668" spans="1:7" x14ac:dyDescent="0.3">
      <c r="A1668" s="19">
        <v>3997</v>
      </c>
      <c r="B1668" s="19" t="s">
        <v>2644</v>
      </c>
      <c r="C1668" s="19" t="s">
        <v>899</v>
      </c>
      <c r="D1668" s="19" t="s">
        <v>1045</v>
      </c>
      <c r="E1668" s="19" t="s">
        <v>1118</v>
      </c>
      <c r="F1668" s="19">
        <v>0</v>
      </c>
      <c r="G1668" s="43">
        <v>0.36</v>
      </c>
    </row>
    <row r="1669" spans="1:7" x14ac:dyDescent="0.3">
      <c r="A1669" s="19">
        <v>3915</v>
      </c>
      <c r="B1669" s="19" t="s">
        <v>2645</v>
      </c>
      <c r="C1669" s="19" t="s">
        <v>899</v>
      </c>
      <c r="D1669" s="19" t="s">
        <v>1045</v>
      </c>
      <c r="E1669" s="19" t="s">
        <v>1118</v>
      </c>
      <c r="F1669" s="19">
        <v>0</v>
      </c>
      <c r="G1669" s="43">
        <v>0.2</v>
      </c>
    </row>
    <row r="1670" spans="1:7" x14ac:dyDescent="0.3">
      <c r="A1670" s="19">
        <v>2844</v>
      </c>
      <c r="B1670" s="19" t="s">
        <v>2646</v>
      </c>
      <c r="C1670" s="19" t="s">
        <v>899</v>
      </c>
      <c r="D1670" s="19" t="s">
        <v>1045</v>
      </c>
      <c r="E1670" s="19" t="s">
        <v>1118</v>
      </c>
      <c r="F1670" s="19">
        <v>0</v>
      </c>
      <c r="G1670" s="43">
        <v>1.49</v>
      </c>
    </row>
    <row r="1671" spans="1:7" x14ac:dyDescent="0.3">
      <c r="A1671" s="19">
        <v>476</v>
      </c>
      <c r="B1671" s="19" t="s">
        <v>2647</v>
      </c>
      <c r="C1671" s="19" t="s">
        <v>899</v>
      </c>
      <c r="D1671" s="19" t="s">
        <v>1045</v>
      </c>
      <c r="E1671" s="19" t="s">
        <v>1118</v>
      </c>
      <c r="F1671" s="19">
        <v>0</v>
      </c>
      <c r="G1671" s="43">
        <v>0.42</v>
      </c>
    </row>
    <row r="1672" spans="1:7" x14ac:dyDescent="0.3">
      <c r="A1672" s="19">
        <v>3020</v>
      </c>
      <c r="B1672" s="19" t="s">
        <v>2648</v>
      </c>
      <c r="C1672" s="19" t="s">
        <v>899</v>
      </c>
      <c r="D1672" s="19" t="s">
        <v>1045</v>
      </c>
      <c r="E1672" s="19" t="s">
        <v>1118</v>
      </c>
      <c r="F1672" s="19">
        <v>0</v>
      </c>
      <c r="G1672" s="43">
        <v>0.43</v>
      </c>
    </row>
    <row r="1673" spans="1:7" x14ac:dyDescent="0.3">
      <c r="A1673" s="19">
        <v>998</v>
      </c>
      <c r="B1673" s="19" t="s">
        <v>2649</v>
      </c>
      <c r="C1673" s="19" t="s">
        <v>899</v>
      </c>
      <c r="D1673" s="19" t="s">
        <v>1045</v>
      </c>
      <c r="E1673" s="19" t="s">
        <v>1118</v>
      </c>
      <c r="F1673" s="19">
        <v>0</v>
      </c>
      <c r="G1673" s="43">
        <v>0.43</v>
      </c>
    </row>
    <row r="1674" spans="1:7" x14ac:dyDescent="0.3">
      <c r="A1674" s="19">
        <v>2845</v>
      </c>
      <c r="B1674" s="19" t="s">
        <v>2650</v>
      </c>
      <c r="C1674" s="19" t="s">
        <v>899</v>
      </c>
      <c r="D1674" s="19" t="s">
        <v>1045</v>
      </c>
      <c r="E1674" s="19" t="s">
        <v>1118</v>
      </c>
      <c r="F1674" s="19">
        <v>0</v>
      </c>
      <c r="G1674" s="43">
        <v>0.42</v>
      </c>
    </row>
    <row r="1675" spans="1:7" x14ac:dyDescent="0.3">
      <c r="A1675" s="19">
        <v>2846</v>
      </c>
      <c r="B1675" s="19" t="s">
        <v>2651</v>
      </c>
      <c r="C1675" s="19" t="s">
        <v>899</v>
      </c>
      <c r="D1675" s="19" t="s">
        <v>1045</v>
      </c>
      <c r="E1675" s="19" t="s">
        <v>1118</v>
      </c>
      <c r="F1675" s="19">
        <v>0</v>
      </c>
      <c r="G1675" s="43">
        <v>0</v>
      </c>
    </row>
    <row r="1676" spans="1:7" x14ac:dyDescent="0.3">
      <c r="A1676" s="19">
        <v>2847</v>
      </c>
      <c r="B1676" s="19" t="s">
        <v>2652</v>
      </c>
      <c r="C1676" s="19" t="s">
        <v>899</v>
      </c>
      <c r="D1676" s="19" t="s">
        <v>1045</v>
      </c>
      <c r="E1676" s="19" t="s">
        <v>1118</v>
      </c>
      <c r="F1676" s="19">
        <v>0</v>
      </c>
      <c r="G1676" s="43">
        <v>1.38</v>
      </c>
    </row>
    <row r="1677" spans="1:7" x14ac:dyDescent="0.3">
      <c r="A1677" s="19">
        <v>553</v>
      </c>
      <c r="B1677" s="19" t="s">
        <v>2653</v>
      </c>
      <c r="C1677" s="19" t="s">
        <v>899</v>
      </c>
      <c r="D1677" s="19" t="s">
        <v>1045</v>
      </c>
      <c r="E1677" s="19" t="s">
        <v>1118</v>
      </c>
      <c r="F1677" s="19">
        <v>0</v>
      </c>
      <c r="G1677" s="43">
        <v>0.43</v>
      </c>
    </row>
    <row r="1678" spans="1:7" x14ac:dyDescent="0.3">
      <c r="A1678" s="19">
        <v>2409</v>
      </c>
      <c r="B1678" s="19" t="s">
        <v>2654</v>
      </c>
      <c r="C1678" s="19" t="s">
        <v>899</v>
      </c>
      <c r="D1678" s="19" t="s">
        <v>1045</v>
      </c>
      <c r="E1678" s="19" t="s">
        <v>1118</v>
      </c>
      <c r="F1678" s="19">
        <v>0</v>
      </c>
      <c r="G1678" s="43">
        <v>0.43</v>
      </c>
    </row>
    <row r="1679" spans="1:7" x14ac:dyDescent="0.3">
      <c r="A1679" s="19">
        <v>2181</v>
      </c>
      <c r="B1679" s="19" t="s">
        <v>2655</v>
      </c>
      <c r="C1679" s="19" t="s">
        <v>899</v>
      </c>
      <c r="D1679" s="19" t="s">
        <v>1045</v>
      </c>
      <c r="E1679" s="19" t="s">
        <v>1118</v>
      </c>
      <c r="F1679" s="19">
        <v>0</v>
      </c>
      <c r="G1679" s="43">
        <v>0.2</v>
      </c>
    </row>
    <row r="1680" spans="1:7" x14ac:dyDescent="0.3">
      <c r="A1680" s="19">
        <v>3499</v>
      </c>
      <c r="B1680" s="19" t="s">
        <v>2656</v>
      </c>
      <c r="C1680" s="19" t="s">
        <v>899</v>
      </c>
      <c r="D1680" s="19" t="s">
        <v>1045</v>
      </c>
      <c r="E1680" s="19" t="s">
        <v>1118</v>
      </c>
      <c r="F1680" s="19">
        <v>0</v>
      </c>
      <c r="G1680" s="43">
        <v>0.24</v>
      </c>
    </row>
    <row r="1681" spans="1:7" x14ac:dyDescent="0.3">
      <c r="A1681" s="19">
        <v>2180</v>
      </c>
      <c r="B1681" s="19" t="s">
        <v>2657</v>
      </c>
      <c r="C1681" s="19" t="s">
        <v>899</v>
      </c>
      <c r="D1681" s="19" t="s">
        <v>1045</v>
      </c>
      <c r="E1681" s="19" t="s">
        <v>1118</v>
      </c>
      <c r="F1681" s="19">
        <v>0</v>
      </c>
      <c r="G1681" s="43">
        <v>0.2</v>
      </c>
    </row>
    <row r="1682" spans="1:7" x14ac:dyDescent="0.3">
      <c r="A1682" s="19">
        <v>3500</v>
      </c>
      <c r="B1682" s="19" t="s">
        <v>2658</v>
      </c>
      <c r="C1682" s="19" t="s">
        <v>899</v>
      </c>
      <c r="D1682" s="19" t="s">
        <v>1045</v>
      </c>
      <c r="E1682" s="19" t="s">
        <v>1118</v>
      </c>
      <c r="F1682" s="19">
        <v>0</v>
      </c>
      <c r="G1682" s="43">
        <v>0</v>
      </c>
    </row>
    <row r="1683" spans="1:7" x14ac:dyDescent="0.3">
      <c r="A1683" s="19">
        <v>2179</v>
      </c>
      <c r="B1683" s="19" t="s">
        <v>2659</v>
      </c>
      <c r="C1683" s="19" t="s">
        <v>899</v>
      </c>
      <c r="D1683" s="19" t="s">
        <v>1045</v>
      </c>
      <c r="E1683" s="19" t="s">
        <v>1118</v>
      </c>
      <c r="F1683" s="19">
        <v>0</v>
      </c>
      <c r="G1683" s="43">
        <v>0.45</v>
      </c>
    </row>
    <row r="1684" spans="1:7" x14ac:dyDescent="0.3">
      <c r="A1684" s="19">
        <v>3501</v>
      </c>
      <c r="B1684" s="19" t="s">
        <v>2660</v>
      </c>
      <c r="C1684" s="19" t="s">
        <v>899</v>
      </c>
      <c r="D1684" s="19" t="s">
        <v>1045</v>
      </c>
      <c r="E1684" s="19" t="s">
        <v>1118</v>
      </c>
      <c r="F1684" s="19">
        <v>0</v>
      </c>
      <c r="G1684" s="43">
        <v>0</v>
      </c>
    </row>
    <row r="1685" spans="1:7" x14ac:dyDescent="0.3">
      <c r="A1685" s="19">
        <v>2177</v>
      </c>
      <c r="B1685" s="19" t="s">
        <v>2661</v>
      </c>
      <c r="C1685" s="19" t="s">
        <v>899</v>
      </c>
      <c r="D1685" s="19" t="s">
        <v>1045</v>
      </c>
      <c r="E1685" s="19" t="s">
        <v>1118</v>
      </c>
      <c r="F1685" s="19">
        <v>0</v>
      </c>
      <c r="G1685" s="43">
        <v>0.45</v>
      </c>
    </row>
    <row r="1686" spans="1:7" x14ac:dyDescent="0.3">
      <c r="A1686" s="19">
        <v>3502</v>
      </c>
      <c r="B1686" s="19" t="s">
        <v>2662</v>
      </c>
      <c r="C1686" s="19" t="s">
        <v>899</v>
      </c>
      <c r="D1686" s="19" t="s">
        <v>1045</v>
      </c>
      <c r="E1686" s="19" t="s">
        <v>1118</v>
      </c>
      <c r="F1686" s="19">
        <v>0</v>
      </c>
      <c r="G1686" s="43">
        <v>0</v>
      </c>
    </row>
    <row r="1687" spans="1:7" x14ac:dyDescent="0.3">
      <c r="A1687" s="19">
        <v>2178</v>
      </c>
      <c r="B1687" s="19" t="s">
        <v>2663</v>
      </c>
      <c r="C1687" s="19" t="s">
        <v>899</v>
      </c>
      <c r="D1687" s="19" t="s">
        <v>1045</v>
      </c>
      <c r="E1687" s="19" t="s">
        <v>1118</v>
      </c>
      <c r="F1687" s="19">
        <v>0</v>
      </c>
      <c r="G1687" s="43">
        <v>0.45</v>
      </c>
    </row>
    <row r="1688" spans="1:7" x14ac:dyDescent="0.3">
      <c r="A1688" s="19">
        <v>3503</v>
      </c>
      <c r="B1688" s="19" t="s">
        <v>2664</v>
      </c>
      <c r="C1688" s="19" t="s">
        <v>899</v>
      </c>
      <c r="D1688" s="19" t="s">
        <v>1045</v>
      </c>
      <c r="E1688" s="19" t="s">
        <v>1118</v>
      </c>
      <c r="F1688" s="19">
        <v>0</v>
      </c>
      <c r="G1688" s="43">
        <v>0</v>
      </c>
    </row>
    <row r="1689" spans="1:7" x14ac:dyDescent="0.3">
      <c r="A1689" s="19">
        <v>2410</v>
      </c>
      <c r="B1689" s="19" t="s">
        <v>2665</v>
      </c>
      <c r="C1689" s="19" t="s">
        <v>899</v>
      </c>
      <c r="D1689" s="19" t="s">
        <v>1045</v>
      </c>
      <c r="E1689" s="19" t="s">
        <v>1118</v>
      </c>
      <c r="F1689" s="19">
        <v>0</v>
      </c>
      <c r="G1689" s="43">
        <v>1.35</v>
      </c>
    </row>
    <row r="1690" spans="1:7" x14ac:dyDescent="0.3">
      <c r="A1690" s="19">
        <v>2411</v>
      </c>
      <c r="B1690" s="19" t="s">
        <v>2666</v>
      </c>
      <c r="C1690" s="19" t="s">
        <v>899</v>
      </c>
      <c r="D1690" s="19" t="s">
        <v>1045</v>
      </c>
      <c r="E1690" s="19" t="s">
        <v>1118</v>
      </c>
      <c r="F1690" s="19">
        <v>0</v>
      </c>
      <c r="G1690" s="43">
        <v>0.75</v>
      </c>
    </row>
    <row r="1691" spans="1:7" x14ac:dyDescent="0.3">
      <c r="A1691" s="19">
        <v>2412</v>
      </c>
      <c r="B1691" s="19" t="s">
        <v>2667</v>
      </c>
      <c r="C1691" s="19" t="s">
        <v>899</v>
      </c>
      <c r="D1691" s="19" t="s">
        <v>1045</v>
      </c>
      <c r="E1691" s="19" t="s">
        <v>1118</v>
      </c>
      <c r="F1691" s="19">
        <v>0</v>
      </c>
      <c r="G1691" s="43">
        <v>0.75</v>
      </c>
    </row>
    <row r="1692" spans="1:7" x14ac:dyDescent="0.3">
      <c r="A1692" s="19">
        <v>2413</v>
      </c>
      <c r="B1692" s="19" t="s">
        <v>2668</v>
      </c>
      <c r="C1692" s="19" t="s">
        <v>899</v>
      </c>
      <c r="D1692" s="19" t="s">
        <v>1045</v>
      </c>
      <c r="E1692" s="19" t="s">
        <v>1118</v>
      </c>
      <c r="F1692" s="19">
        <v>0</v>
      </c>
      <c r="G1692" s="43">
        <v>1.35</v>
      </c>
    </row>
    <row r="1693" spans="1:7" x14ac:dyDescent="0.3">
      <c r="A1693" s="19">
        <v>2414</v>
      </c>
      <c r="B1693" s="19" t="s">
        <v>2669</v>
      </c>
      <c r="C1693" s="19" t="s">
        <v>899</v>
      </c>
      <c r="D1693" s="19" t="s">
        <v>1045</v>
      </c>
      <c r="E1693" s="19" t="s">
        <v>1118</v>
      </c>
      <c r="F1693" s="19">
        <v>0</v>
      </c>
      <c r="G1693" s="43">
        <v>1.35</v>
      </c>
    </row>
    <row r="1694" spans="1:7" x14ac:dyDescent="0.3">
      <c r="A1694" s="19">
        <v>2848</v>
      </c>
      <c r="B1694" s="19" t="s">
        <v>2670</v>
      </c>
      <c r="C1694" s="19" t="s">
        <v>899</v>
      </c>
      <c r="D1694" s="19" t="s">
        <v>1045</v>
      </c>
      <c r="E1694" s="19" t="s">
        <v>1118</v>
      </c>
      <c r="F1694" s="19">
        <v>0</v>
      </c>
      <c r="G1694" s="43">
        <v>1.51</v>
      </c>
    </row>
    <row r="1695" spans="1:7" x14ac:dyDescent="0.3">
      <c r="A1695" s="19">
        <v>552</v>
      </c>
      <c r="B1695" s="19" t="s">
        <v>2671</v>
      </c>
      <c r="C1695" s="19" t="s">
        <v>899</v>
      </c>
      <c r="D1695" s="19" t="s">
        <v>1045</v>
      </c>
      <c r="E1695" s="19" t="s">
        <v>1118</v>
      </c>
      <c r="F1695" s="19">
        <v>0</v>
      </c>
      <c r="G1695" s="43">
        <v>0.44</v>
      </c>
    </row>
    <row r="1696" spans="1:7" x14ac:dyDescent="0.3">
      <c r="A1696" s="19">
        <v>2849</v>
      </c>
      <c r="B1696" s="19" t="s">
        <v>2672</v>
      </c>
      <c r="C1696" s="19" t="s">
        <v>899</v>
      </c>
      <c r="D1696" s="19" t="s">
        <v>1045</v>
      </c>
      <c r="E1696" s="19" t="s">
        <v>1118</v>
      </c>
      <c r="F1696" s="19">
        <v>0</v>
      </c>
      <c r="G1696" s="43">
        <v>1.51</v>
      </c>
    </row>
    <row r="1697" spans="1:7" x14ac:dyDescent="0.3">
      <c r="A1697" s="19">
        <v>551</v>
      </c>
      <c r="B1697" s="19" t="s">
        <v>2673</v>
      </c>
      <c r="C1697" s="19" t="s">
        <v>899</v>
      </c>
      <c r="D1697" s="19" t="s">
        <v>1045</v>
      </c>
      <c r="E1697" s="19" t="s">
        <v>1118</v>
      </c>
      <c r="F1697" s="19">
        <v>0</v>
      </c>
      <c r="G1697" s="43">
        <v>0.44</v>
      </c>
    </row>
    <row r="1698" spans="1:7" x14ac:dyDescent="0.3">
      <c r="A1698" s="19">
        <v>2850</v>
      </c>
      <c r="B1698" s="19" t="s">
        <v>2674</v>
      </c>
      <c r="C1698" s="19" t="s">
        <v>899</v>
      </c>
      <c r="D1698" s="19" t="s">
        <v>1045</v>
      </c>
      <c r="E1698" s="19" t="s">
        <v>1118</v>
      </c>
      <c r="F1698" s="19">
        <v>0</v>
      </c>
      <c r="G1698" s="43">
        <v>0.28999999999999998</v>
      </c>
    </row>
    <row r="1699" spans="1:7" x14ac:dyDescent="0.3">
      <c r="A1699" s="19">
        <v>2851</v>
      </c>
      <c r="B1699" s="19" t="s">
        <v>2675</v>
      </c>
      <c r="C1699" s="19" t="s">
        <v>899</v>
      </c>
      <c r="D1699" s="19" t="s">
        <v>1045</v>
      </c>
      <c r="E1699" s="19" t="s">
        <v>1118</v>
      </c>
      <c r="F1699" s="19">
        <v>0</v>
      </c>
      <c r="G1699" s="43">
        <v>0.28999999999999998</v>
      </c>
    </row>
    <row r="1700" spans="1:7" x14ac:dyDescent="0.3">
      <c r="A1700" s="19">
        <v>2852</v>
      </c>
      <c r="B1700" s="19" t="s">
        <v>2676</v>
      </c>
      <c r="C1700" s="19" t="s">
        <v>899</v>
      </c>
      <c r="D1700" s="19" t="s">
        <v>1045</v>
      </c>
      <c r="E1700" s="19" t="s">
        <v>1118</v>
      </c>
      <c r="F1700" s="19">
        <v>0</v>
      </c>
      <c r="G1700" s="43">
        <v>0.28999999999999998</v>
      </c>
    </row>
    <row r="1701" spans="1:7" x14ac:dyDescent="0.3">
      <c r="A1701" s="19">
        <v>2227</v>
      </c>
      <c r="B1701" s="19" t="s">
        <v>2677</v>
      </c>
      <c r="C1701" s="19" t="s">
        <v>899</v>
      </c>
      <c r="D1701" s="19" t="s">
        <v>1045</v>
      </c>
      <c r="E1701" s="19" t="s">
        <v>1118</v>
      </c>
      <c r="F1701" s="19">
        <v>0</v>
      </c>
      <c r="G1701" s="43">
        <v>3.2</v>
      </c>
    </row>
    <row r="1702" spans="1:7" x14ac:dyDescent="0.3">
      <c r="A1702" s="19">
        <v>2155</v>
      </c>
      <c r="B1702" s="19" t="s">
        <v>2678</v>
      </c>
      <c r="C1702" s="19" t="s">
        <v>899</v>
      </c>
      <c r="D1702" s="19" t="s">
        <v>2679</v>
      </c>
      <c r="E1702" s="19" t="s">
        <v>1118</v>
      </c>
      <c r="F1702" s="19">
        <v>0</v>
      </c>
      <c r="G1702" s="43">
        <v>0.35</v>
      </c>
    </row>
    <row r="1703" spans="1:7" x14ac:dyDescent="0.3">
      <c r="A1703" s="19">
        <v>3815</v>
      </c>
      <c r="B1703" s="19" t="s">
        <v>2680</v>
      </c>
      <c r="C1703" s="19" t="s">
        <v>899</v>
      </c>
      <c r="D1703" s="19" t="s">
        <v>1045</v>
      </c>
      <c r="E1703" s="19" t="s">
        <v>1118</v>
      </c>
      <c r="F1703" s="19">
        <v>0</v>
      </c>
      <c r="G1703" s="43">
        <v>0.39</v>
      </c>
    </row>
    <row r="1704" spans="1:7" x14ac:dyDescent="0.3">
      <c r="A1704" s="19">
        <v>3816</v>
      </c>
      <c r="B1704" s="19" t="s">
        <v>2681</v>
      </c>
      <c r="C1704" s="19" t="s">
        <v>899</v>
      </c>
      <c r="D1704" s="19" t="s">
        <v>1045</v>
      </c>
      <c r="E1704" s="19" t="s">
        <v>1118</v>
      </c>
      <c r="F1704" s="19">
        <v>0</v>
      </c>
      <c r="G1704" s="43">
        <v>0.39</v>
      </c>
    </row>
    <row r="1705" spans="1:7" x14ac:dyDescent="0.3">
      <c r="A1705" s="19">
        <v>2634</v>
      </c>
      <c r="B1705" s="19" t="s">
        <v>2682</v>
      </c>
      <c r="C1705" s="19" t="s">
        <v>899</v>
      </c>
      <c r="D1705" s="19" t="s">
        <v>1045</v>
      </c>
      <c r="E1705" s="19" t="s">
        <v>1118</v>
      </c>
      <c r="F1705" s="19">
        <v>0</v>
      </c>
      <c r="G1705" s="43">
        <v>0.12</v>
      </c>
    </row>
    <row r="1706" spans="1:7" x14ac:dyDescent="0.3">
      <c r="A1706" s="19">
        <v>2081</v>
      </c>
      <c r="B1706" s="19" t="s">
        <v>2683</v>
      </c>
      <c r="C1706" s="19" t="s">
        <v>899</v>
      </c>
      <c r="D1706" s="19" t="s">
        <v>1045</v>
      </c>
      <c r="E1706" s="19" t="s">
        <v>1118</v>
      </c>
      <c r="F1706" s="19">
        <v>0</v>
      </c>
      <c r="G1706" s="43">
        <v>0.12</v>
      </c>
    </row>
    <row r="1707" spans="1:7" x14ac:dyDescent="0.3">
      <c r="A1707" s="19">
        <v>973</v>
      </c>
      <c r="B1707" s="19" t="s">
        <v>2684</v>
      </c>
      <c r="C1707" s="19" t="s">
        <v>899</v>
      </c>
      <c r="D1707" s="19" t="s">
        <v>1045</v>
      </c>
      <c r="E1707" s="19" t="s">
        <v>1118</v>
      </c>
      <c r="F1707" s="19">
        <v>0</v>
      </c>
      <c r="G1707" s="43">
        <v>0.12</v>
      </c>
    </row>
    <row r="1708" spans="1:7" x14ac:dyDescent="0.3">
      <c r="A1708" s="19">
        <v>2229</v>
      </c>
      <c r="B1708" s="19" t="s">
        <v>2685</v>
      </c>
      <c r="C1708" s="19" t="s">
        <v>899</v>
      </c>
      <c r="D1708" s="19" t="s">
        <v>1045</v>
      </c>
      <c r="E1708" s="19" t="s">
        <v>1118</v>
      </c>
      <c r="F1708" s="19">
        <v>0</v>
      </c>
      <c r="G1708" s="43">
        <v>0.12</v>
      </c>
    </row>
    <row r="1709" spans="1:7" x14ac:dyDescent="0.3">
      <c r="A1709" s="19">
        <v>2415</v>
      </c>
      <c r="B1709" s="19" t="s">
        <v>2686</v>
      </c>
      <c r="C1709" s="19" t="s">
        <v>899</v>
      </c>
      <c r="D1709" s="19" t="s">
        <v>1045</v>
      </c>
      <c r="E1709" s="19" t="s">
        <v>1118</v>
      </c>
      <c r="F1709" s="19">
        <v>0</v>
      </c>
      <c r="G1709" s="43">
        <v>0.2</v>
      </c>
    </row>
    <row r="1710" spans="1:7" x14ac:dyDescent="0.3">
      <c r="A1710" s="19">
        <v>2082</v>
      </c>
      <c r="B1710" s="19" t="s">
        <v>2687</v>
      </c>
      <c r="C1710" s="19" t="s">
        <v>899</v>
      </c>
      <c r="D1710" s="19" t="s">
        <v>1045</v>
      </c>
      <c r="E1710" s="19" t="s">
        <v>1118</v>
      </c>
      <c r="F1710" s="19">
        <v>0</v>
      </c>
      <c r="G1710" s="43">
        <v>0.12</v>
      </c>
    </row>
    <row r="1711" spans="1:7" x14ac:dyDescent="0.3">
      <c r="A1711" s="19">
        <v>1677</v>
      </c>
      <c r="B1711" s="19" t="s">
        <v>2688</v>
      </c>
      <c r="C1711" s="19" t="s">
        <v>899</v>
      </c>
      <c r="D1711" s="19" t="s">
        <v>1045</v>
      </c>
      <c r="E1711" s="19" t="s">
        <v>1118</v>
      </c>
      <c r="F1711" s="19">
        <v>0</v>
      </c>
      <c r="G1711" s="43">
        <v>0.12</v>
      </c>
    </row>
    <row r="1712" spans="1:7" x14ac:dyDescent="0.3">
      <c r="A1712" s="19">
        <v>2416</v>
      </c>
      <c r="B1712" s="19" t="s">
        <v>2689</v>
      </c>
      <c r="C1712" s="19" t="s">
        <v>899</v>
      </c>
      <c r="D1712" s="19" t="s">
        <v>1045</v>
      </c>
      <c r="E1712" s="19" t="s">
        <v>1118</v>
      </c>
      <c r="F1712" s="19">
        <v>0</v>
      </c>
      <c r="G1712" s="43">
        <v>0.12</v>
      </c>
    </row>
    <row r="1713" spans="1:7" x14ac:dyDescent="0.3">
      <c r="A1713" s="19">
        <v>3198</v>
      </c>
      <c r="B1713" s="19" t="s">
        <v>2690</v>
      </c>
      <c r="C1713" s="19" t="s">
        <v>899</v>
      </c>
      <c r="D1713" s="19" t="s">
        <v>1045</v>
      </c>
      <c r="E1713" s="19" t="s">
        <v>1118</v>
      </c>
      <c r="F1713" s="19">
        <v>0</v>
      </c>
      <c r="G1713" s="43">
        <v>0.12</v>
      </c>
    </row>
    <row r="1714" spans="1:7" x14ac:dyDescent="0.3">
      <c r="A1714" s="19">
        <v>2417</v>
      </c>
      <c r="B1714" s="19" t="s">
        <v>2691</v>
      </c>
      <c r="C1714" s="19" t="s">
        <v>899</v>
      </c>
      <c r="D1714" s="19" t="s">
        <v>1045</v>
      </c>
      <c r="E1714" s="19" t="s">
        <v>1118</v>
      </c>
      <c r="F1714" s="19">
        <v>0</v>
      </c>
      <c r="G1714" s="43">
        <v>0.12</v>
      </c>
    </row>
    <row r="1715" spans="1:7" x14ac:dyDescent="0.3">
      <c r="A1715" s="19">
        <v>2418</v>
      </c>
      <c r="B1715" s="19" t="s">
        <v>2692</v>
      </c>
      <c r="C1715" s="19" t="s">
        <v>899</v>
      </c>
      <c r="D1715" s="19" t="s">
        <v>1045</v>
      </c>
      <c r="E1715" s="19" t="s">
        <v>1118</v>
      </c>
      <c r="F1715" s="19">
        <v>0</v>
      </c>
      <c r="G1715" s="43">
        <v>0.12</v>
      </c>
    </row>
    <row r="1716" spans="1:7" x14ac:dyDescent="0.3">
      <c r="A1716" s="19">
        <v>2419</v>
      </c>
      <c r="B1716" s="19" t="s">
        <v>2693</v>
      </c>
      <c r="C1716" s="19" t="s">
        <v>899</v>
      </c>
      <c r="D1716" s="19" t="s">
        <v>1045</v>
      </c>
      <c r="E1716" s="19" t="s">
        <v>1118</v>
      </c>
      <c r="F1716" s="19">
        <v>0</v>
      </c>
      <c r="G1716" s="43">
        <v>0.12</v>
      </c>
    </row>
    <row r="1717" spans="1:7" x14ac:dyDescent="0.3">
      <c r="A1717" s="19">
        <v>2785</v>
      </c>
      <c r="B1717" s="19" t="s">
        <v>2694</v>
      </c>
      <c r="C1717" s="19" t="s">
        <v>899</v>
      </c>
      <c r="D1717" s="19" t="s">
        <v>1045</v>
      </c>
      <c r="E1717" s="19" t="s">
        <v>1118</v>
      </c>
      <c r="F1717" s="19">
        <v>0</v>
      </c>
      <c r="G1717" s="43">
        <v>0.12</v>
      </c>
    </row>
    <row r="1718" spans="1:7" x14ac:dyDescent="0.3">
      <c r="A1718" s="19">
        <v>2420</v>
      </c>
      <c r="B1718" s="19" t="s">
        <v>2695</v>
      </c>
      <c r="C1718" s="19" t="s">
        <v>899</v>
      </c>
      <c r="D1718" s="19" t="s">
        <v>1045</v>
      </c>
      <c r="E1718" s="19" t="s">
        <v>1118</v>
      </c>
      <c r="F1718" s="19">
        <v>0</v>
      </c>
      <c r="G1718" s="43">
        <v>0.12</v>
      </c>
    </row>
    <row r="1719" spans="1:7" x14ac:dyDescent="0.3">
      <c r="A1719" s="19">
        <v>1678</v>
      </c>
      <c r="B1719" s="19" t="s">
        <v>2696</v>
      </c>
      <c r="C1719" s="19" t="s">
        <v>899</v>
      </c>
      <c r="D1719" s="19" t="s">
        <v>1045</v>
      </c>
      <c r="E1719" s="19" t="s">
        <v>1118</v>
      </c>
      <c r="F1719" s="19">
        <v>0</v>
      </c>
      <c r="G1719" s="43">
        <v>0.12</v>
      </c>
    </row>
    <row r="1720" spans="1:7" x14ac:dyDescent="0.3">
      <c r="A1720" s="19">
        <v>3013</v>
      </c>
      <c r="B1720" s="19" t="s">
        <v>2697</v>
      </c>
      <c r="C1720" s="19" t="s">
        <v>899</v>
      </c>
      <c r="D1720" s="19" t="s">
        <v>1045</v>
      </c>
      <c r="E1720" s="19" t="s">
        <v>1118</v>
      </c>
      <c r="F1720" s="19">
        <v>0</v>
      </c>
      <c r="G1720" s="43">
        <v>0.12</v>
      </c>
    </row>
    <row r="1721" spans="1:7" x14ac:dyDescent="0.3">
      <c r="A1721" s="19">
        <v>1679</v>
      </c>
      <c r="B1721" s="19" t="s">
        <v>2698</v>
      </c>
      <c r="C1721" s="19" t="s">
        <v>899</v>
      </c>
      <c r="D1721" s="19" t="s">
        <v>1045</v>
      </c>
      <c r="E1721" s="19" t="s">
        <v>1118</v>
      </c>
      <c r="F1721" s="19">
        <v>0</v>
      </c>
      <c r="G1721" s="43">
        <v>0.12</v>
      </c>
    </row>
    <row r="1722" spans="1:7" x14ac:dyDescent="0.3">
      <c r="A1722" s="19">
        <v>2421</v>
      </c>
      <c r="B1722" s="19" t="s">
        <v>2699</v>
      </c>
      <c r="C1722" s="19" t="s">
        <v>899</v>
      </c>
      <c r="D1722" s="19" t="s">
        <v>1045</v>
      </c>
      <c r="E1722" s="19" t="s">
        <v>1118</v>
      </c>
      <c r="F1722" s="19">
        <v>0</v>
      </c>
      <c r="G1722" s="43">
        <v>0.12</v>
      </c>
    </row>
    <row r="1723" spans="1:7" x14ac:dyDescent="0.3">
      <c r="A1723" s="19">
        <v>1188</v>
      </c>
      <c r="B1723" s="19" t="s">
        <v>2700</v>
      </c>
      <c r="C1723" s="19" t="s">
        <v>899</v>
      </c>
      <c r="D1723" s="19" t="s">
        <v>1045</v>
      </c>
      <c r="E1723" s="19" t="s">
        <v>1118</v>
      </c>
      <c r="F1723" s="19">
        <v>0</v>
      </c>
      <c r="G1723" s="43">
        <v>0.12</v>
      </c>
    </row>
    <row r="1724" spans="1:7" x14ac:dyDescent="0.3">
      <c r="A1724" s="19">
        <v>3343</v>
      </c>
      <c r="B1724" s="19" t="s">
        <v>2701</v>
      </c>
      <c r="C1724" s="19" t="s">
        <v>899</v>
      </c>
      <c r="D1724" s="19" t="s">
        <v>1045</v>
      </c>
      <c r="E1724" s="19" t="s">
        <v>1118</v>
      </c>
      <c r="F1724" s="19">
        <v>0</v>
      </c>
      <c r="G1724" s="43">
        <v>0.12</v>
      </c>
    </row>
    <row r="1725" spans="1:7" x14ac:dyDescent="0.3">
      <c r="A1725" s="19">
        <v>3398</v>
      </c>
      <c r="B1725" s="19" t="s">
        <v>2702</v>
      </c>
      <c r="C1725" s="19" t="s">
        <v>899</v>
      </c>
      <c r="D1725" s="19" t="s">
        <v>1045</v>
      </c>
      <c r="E1725" s="19" t="s">
        <v>1118</v>
      </c>
      <c r="F1725" s="19">
        <v>0</v>
      </c>
      <c r="G1725" s="43">
        <v>0.12</v>
      </c>
    </row>
    <row r="1726" spans="1:7" x14ac:dyDescent="0.3">
      <c r="A1726" s="19">
        <v>3580</v>
      </c>
      <c r="B1726" s="19" t="s">
        <v>2703</v>
      </c>
      <c r="C1726" s="19" t="s">
        <v>899</v>
      </c>
      <c r="D1726" s="19" t="s">
        <v>1045</v>
      </c>
      <c r="E1726" s="19" t="s">
        <v>1118</v>
      </c>
      <c r="F1726" s="19">
        <v>0</v>
      </c>
      <c r="G1726" s="43">
        <v>0.2</v>
      </c>
    </row>
    <row r="1727" spans="1:7" x14ac:dyDescent="0.3">
      <c r="A1727" s="19">
        <v>2061</v>
      </c>
      <c r="B1727" s="19" t="s">
        <v>2704</v>
      </c>
      <c r="C1727" s="19" t="s">
        <v>899</v>
      </c>
      <c r="D1727" s="19" t="s">
        <v>1045</v>
      </c>
      <c r="E1727" s="19" t="s">
        <v>1118</v>
      </c>
      <c r="F1727" s="19">
        <v>0</v>
      </c>
      <c r="G1727" s="43">
        <v>0.12</v>
      </c>
    </row>
    <row r="1728" spans="1:7" x14ac:dyDescent="0.3">
      <c r="A1728" s="19">
        <v>2423</v>
      </c>
      <c r="B1728" s="19" t="s">
        <v>2705</v>
      </c>
      <c r="C1728" s="19" t="s">
        <v>899</v>
      </c>
      <c r="D1728" s="19" t="s">
        <v>1045</v>
      </c>
      <c r="E1728" s="19" t="s">
        <v>1118</v>
      </c>
      <c r="F1728" s="19">
        <v>0</v>
      </c>
      <c r="G1728" s="43">
        <v>0.12</v>
      </c>
    </row>
    <row r="1729" spans="1:7" x14ac:dyDescent="0.3">
      <c r="A1729" s="19">
        <v>3613</v>
      </c>
      <c r="B1729" s="19" t="s">
        <v>2706</v>
      </c>
      <c r="C1729" s="19" t="s">
        <v>899</v>
      </c>
      <c r="D1729" s="19" t="s">
        <v>1045</v>
      </c>
      <c r="E1729" s="19" t="s">
        <v>1118</v>
      </c>
      <c r="F1729" s="19">
        <v>0</v>
      </c>
      <c r="G1729" s="43">
        <v>0.2</v>
      </c>
    </row>
    <row r="1730" spans="1:7" x14ac:dyDescent="0.3">
      <c r="A1730" s="19">
        <v>1680</v>
      </c>
      <c r="B1730" s="19" t="s">
        <v>2707</v>
      </c>
      <c r="C1730" s="19" t="s">
        <v>899</v>
      </c>
      <c r="D1730" s="19" t="s">
        <v>1045</v>
      </c>
      <c r="E1730" s="19" t="s">
        <v>1118</v>
      </c>
      <c r="F1730" s="19">
        <v>0</v>
      </c>
      <c r="G1730" s="43">
        <v>0.12</v>
      </c>
    </row>
    <row r="1731" spans="1:7" x14ac:dyDescent="0.3">
      <c r="A1731" s="19">
        <v>2160</v>
      </c>
      <c r="B1731" s="19" t="s">
        <v>2708</v>
      </c>
      <c r="C1731" s="19" t="s">
        <v>774</v>
      </c>
      <c r="D1731" s="19" t="s">
        <v>1045</v>
      </c>
      <c r="E1731" s="19" t="s">
        <v>1118</v>
      </c>
      <c r="F1731" s="19">
        <v>0</v>
      </c>
      <c r="G1731" s="43">
        <v>0.12</v>
      </c>
    </row>
    <row r="1732" spans="1:7" x14ac:dyDescent="0.3">
      <c r="A1732" s="19">
        <v>2083</v>
      </c>
      <c r="B1732" s="19" t="s">
        <v>2709</v>
      </c>
      <c r="C1732" s="19" t="s">
        <v>899</v>
      </c>
      <c r="D1732" s="19" t="s">
        <v>1045</v>
      </c>
      <c r="E1732" s="19" t="s">
        <v>1118</v>
      </c>
      <c r="F1732" s="19">
        <v>0</v>
      </c>
      <c r="G1732" s="43">
        <v>0.12</v>
      </c>
    </row>
    <row r="1733" spans="1:7" x14ac:dyDescent="0.3">
      <c r="A1733" s="19">
        <v>2236</v>
      </c>
      <c r="B1733" s="19" t="s">
        <v>2710</v>
      </c>
      <c r="C1733" s="19" t="s">
        <v>899</v>
      </c>
      <c r="D1733" s="19" t="s">
        <v>1045</v>
      </c>
      <c r="E1733" s="19" t="s">
        <v>1118</v>
      </c>
      <c r="F1733" s="19">
        <v>0</v>
      </c>
      <c r="G1733" s="43">
        <v>0.12</v>
      </c>
    </row>
    <row r="1734" spans="1:7" x14ac:dyDescent="0.3">
      <c r="A1734" s="19">
        <v>1681</v>
      </c>
      <c r="B1734" s="19" t="s">
        <v>2711</v>
      </c>
      <c r="C1734" s="19" t="s">
        <v>899</v>
      </c>
      <c r="D1734" s="19" t="s">
        <v>1045</v>
      </c>
      <c r="E1734" s="19" t="s">
        <v>1118</v>
      </c>
      <c r="F1734" s="19">
        <v>0</v>
      </c>
      <c r="G1734" s="43">
        <v>0.12</v>
      </c>
    </row>
    <row r="1735" spans="1:7" x14ac:dyDescent="0.3">
      <c r="A1735" s="19">
        <v>2238</v>
      </c>
      <c r="B1735" s="19" t="s">
        <v>2712</v>
      </c>
      <c r="C1735" s="19" t="s">
        <v>899</v>
      </c>
      <c r="D1735" s="19" t="s">
        <v>1045</v>
      </c>
      <c r="E1735" s="19" t="s">
        <v>1118</v>
      </c>
      <c r="F1735" s="19">
        <v>0</v>
      </c>
      <c r="G1735" s="43">
        <v>0.12</v>
      </c>
    </row>
    <row r="1736" spans="1:7" x14ac:dyDescent="0.3">
      <c r="A1736" s="19">
        <v>2080</v>
      </c>
      <c r="B1736" s="19" t="s">
        <v>2713</v>
      </c>
      <c r="C1736" s="19" t="s">
        <v>899</v>
      </c>
      <c r="D1736" s="19" t="s">
        <v>1045</v>
      </c>
      <c r="E1736" s="19" t="s">
        <v>1118</v>
      </c>
      <c r="F1736" s="19">
        <v>0</v>
      </c>
      <c r="G1736" s="43">
        <v>0.12</v>
      </c>
    </row>
    <row r="1737" spans="1:7" x14ac:dyDescent="0.3">
      <c r="A1737" s="19">
        <v>1190</v>
      </c>
      <c r="B1737" s="19" t="s">
        <v>2714</v>
      </c>
      <c r="C1737" s="19" t="s">
        <v>899</v>
      </c>
      <c r="D1737" s="19" t="s">
        <v>1045</v>
      </c>
      <c r="E1737" s="19" t="s">
        <v>1118</v>
      </c>
      <c r="F1737" s="19">
        <v>0</v>
      </c>
      <c r="G1737" s="43">
        <v>0.12</v>
      </c>
    </row>
    <row r="1738" spans="1:7" x14ac:dyDescent="0.3">
      <c r="A1738" s="19">
        <v>1192</v>
      </c>
      <c r="B1738" s="19" t="s">
        <v>2715</v>
      </c>
      <c r="C1738" s="19" t="s">
        <v>899</v>
      </c>
      <c r="D1738" s="19" t="s">
        <v>1045</v>
      </c>
      <c r="E1738" s="19" t="s">
        <v>1118</v>
      </c>
      <c r="F1738" s="19">
        <v>0</v>
      </c>
      <c r="G1738" s="43">
        <v>0.12</v>
      </c>
    </row>
    <row r="1739" spans="1:7" x14ac:dyDescent="0.3">
      <c r="A1739" s="19">
        <v>3004</v>
      </c>
      <c r="B1739" s="19" t="s">
        <v>2716</v>
      </c>
      <c r="C1739" s="19" t="s">
        <v>899</v>
      </c>
      <c r="D1739" s="19" t="s">
        <v>1045</v>
      </c>
      <c r="E1739" s="19" t="s">
        <v>1118</v>
      </c>
      <c r="F1739" s="19">
        <v>0</v>
      </c>
      <c r="G1739" s="43">
        <v>0.12</v>
      </c>
    </row>
    <row r="1740" spans="1:7" x14ac:dyDescent="0.3">
      <c r="A1740" s="19">
        <v>2666</v>
      </c>
      <c r="B1740" s="19" t="s">
        <v>2717</v>
      </c>
      <c r="C1740" s="19" t="s">
        <v>899</v>
      </c>
      <c r="D1740" s="19" t="s">
        <v>1045</v>
      </c>
      <c r="E1740" s="19" t="s">
        <v>1118</v>
      </c>
      <c r="F1740" s="19">
        <v>0</v>
      </c>
      <c r="G1740" s="43">
        <v>0.12</v>
      </c>
    </row>
    <row r="1741" spans="1:7" x14ac:dyDescent="0.3">
      <c r="A1741" s="19">
        <v>3223</v>
      </c>
      <c r="B1741" s="19" t="s">
        <v>2718</v>
      </c>
      <c r="C1741" s="19" t="s">
        <v>899</v>
      </c>
      <c r="D1741" s="19" t="s">
        <v>1045</v>
      </c>
      <c r="E1741" s="19" t="s">
        <v>1118</v>
      </c>
      <c r="F1741" s="19">
        <v>0</v>
      </c>
      <c r="G1741" s="43">
        <v>0.12</v>
      </c>
    </row>
    <row r="1742" spans="1:7" x14ac:dyDescent="0.3">
      <c r="A1742" s="19">
        <v>1682</v>
      </c>
      <c r="B1742" s="19" t="s">
        <v>2719</v>
      </c>
      <c r="C1742" s="19" t="s">
        <v>899</v>
      </c>
      <c r="D1742" s="19" t="s">
        <v>1045</v>
      </c>
      <c r="E1742" s="19" t="s">
        <v>1118</v>
      </c>
      <c r="F1742" s="19">
        <v>0</v>
      </c>
      <c r="G1742" s="43">
        <v>0.12</v>
      </c>
    </row>
    <row r="1743" spans="1:7" x14ac:dyDescent="0.3">
      <c r="A1743" s="19">
        <v>2079</v>
      </c>
      <c r="B1743" s="19" t="s">
        <v>2720</v>
      </c>
      <c r="C1743" s="19" t="s">
        <v>899</v>
      </c>
      <c r="D1743" s="19" t="s">
        <v>1045</v>
      </c>
      <c r="E1743" s="19" t="s">
        <v>1118</v>
      </c>
      <c r="F1743" s="19">
        <v>0</v>
      </c>
      <c r="G1743" s="43">
        <v>0.12</v>
      </c>
    </row>
    <row r="1744" spans="1:7" x14ac:dyDescent="0.3">
      <c r="A1744" s="19">
        <v>1189</v>
      </c>
      <c r="B1744" s="19" t="s">
        <v>2721</v>
      </c>
      <c r="C1744" s="19" t="s">
        <v>899</v>
      </c>
      <c r="D1744" s="19" t="s">
        <v>1045</v>
      </c>
      <c r="E1744" s="19" t="s">
        <v>1118</v>
      </c>
      <c r="F1744" s="19">
        <v>0</v>
      </c>
      <c r="G1744" s="43">
        <v>0.12</v>
      </c>
    </row>
    <row r="1745" spans="1:7" x14ac:dyDescent="0.3">
      <c r="A1745" s="19">
        <v>2425</v>
      </c>
      <c r="B1745" s="19" t="s">
        <v>2722</v>
      </c>
      <c r="C1745" s="19" t="s">
        <v>899</v>
      </c>
      <c r="D1745" s="19" t="s">
        <v>1045</v>
      </c>
      <c r="E1745" s="19" t="s">
        <v>1118</v>
      </c>
      <c r="F1745" s="19">
        <v>0</v>
      </c>
      <c r="G1745" s="43">
        <v>0.12</v>
      </c>
    </row>
    <row r="1746" spans="1:7" x14ac:dyDescent="0.3">
      <c r="A1746" s="19">
        <v>2239</v>
      </c>
      <c r="B1746" s="19" t="s">
        <v>2723</v>
      </c>
      <c r="C1746" s="19" t="s">
        <v>899</v>
      </c>
      <c r="D1746" s="19" t="s">
        <v>1045</v>
      </c>
      <c r="E1746" s="19" t="s">
        <v>1118</v>
      </c>
      <c r="F1746" s="19">
        <v>0</v>
      </c>
      <c r="G1746" s="43">
        <v>0.12</v>
      </c>
    </row>
    <row r="1747" spans="1:7" x14ac:dyDescent="0.3">
      <c r="A1747" s="19">
        <v>2240</v>
      </c>
      <c r="B1747" s="19" t="s">
        <v>2724</v>
      </c>
      <c r="C1747" s="19" t="s">
        <v>899</v>
      </c>
      <c r="D1747" s="19" t="s">
        <v>1045</v>
      </c>
      <c r="E1747" s="19" t="s">
        <v>1118</v>
      </c>
      <c r="F1747" s="19">
        <v>0</v>
      </c>
      <c r="G1747" s="43">
        <v>0.12</v>
      </c>
    </row>
    <row r="1748" spans="1:7" x14ac:dyDescent="0.3">
      <c r="A1748" s="19">
        <v>2243</v>
      </c>
      <c r="B1748" s="19" t="s">
        <v>2725</v>
      </c>
      <c r="C1748" s="19" t="s">
        <v>899</v>
      </c>
      <c r="D1748" s="19" t="s">
        <v>1045</v>
      </c>
      <c r="E1748" s="19" t="s">
        <v>1118</v>
      </c>
      <c r="F1748" s="19">
        <v>0</v>
      </c>
      <c r="G1748" s="43">
        <v>0.12</v>
      </c>
    </row>
    <row r="1749" spans="1:7" x14ac:dyDescent="0.3">
      <c r="A1749" s="19">
        <v>2426</v>
      </c>
      <c r="B1749" s="19" t="s">
        <v>2726</v>
      </c>
      <c r="C1749" s="19" t="s">
        <v>899</v>
      </c>
      <c r="D1749" s="19" t="s">
        <v>1045</v>
      </c>
      <c r="E1749" s="19" t="s">
        <v>1118</v>
      </c>
      <c r="F1749" s="19">
        <v>0</v>
      </c>
      <c r="G1749" s="43">
        <v>0.12</v>
      </c>
    </row>
    <row r="1750" spans="1:7" x14ac:dyDescent="0.3">
      <c r="A1750" s="19">
        <v>2427</v>
      </c>
      <c r="B1750" s="19" t="s">
        <v>2727</v>
      </c>
      <c r="C1750" s="19" t="s">
        <v>899</v>
      </c>
      <c r="D1750" s="19" t="s">
        <v>1045</v>
      </c>
      <c r="E1750" s="19" t="s">
        <v>1118</v>
      </c>
      <c r="F1750" s="19">
        <v>0</v>
      </c>
      <c r="G1750" s="43">
        <v>0.12</v>
      </c>
    </row>
    <row r="1751" spans="1:7" x14ac:dyDescent="0.3">
      <c r="A1751" s="19">
        <v>3283</v>
      </c>
      <c r="B1751" s="19" t="s">
        <v>2728</v>
      </c>
      <c r="C1751" s="19" t="s">
        <v>899</v>
      </c>
      <c r="D1751" s="19" t="s">
        <v>1045</v>
      </c>
      <c r="E1751" s="19" t="s">
        <v>1118</v>
      </c>
      <c r="F1751" s="19">
        <v>0</v>
      </c>
      <c r="G1751" s="43">
        <v>0.12</v>
      </c>
    </row>
    <row r="1752" spans="1:7" x14ac:dyDescent="0.3">
      <c r="A1752" s="19">
        <v>3597</v>
      </c>
      <c r="B1752" s="19" t="s">
        <v>2729</v>
      </c>
      <c r="C1752" s="19" t="s">
        <v>899</v>
      </c>
      <c r="D1752" s="19" t="s">
        <v>1045</v>
      </c>
      <c r="E1752" s="19" t="s">
        <v>1118</v>
      </c>
      <c r="F1752" s="19">
        <v>0</v>
      </c>
      <c r="G1752" s="43">
        <v>0.12</v>
      </c>
    </row>
    <row r="1753" spans="1:7" x14ac:dyDescent="0.3">
      <c r="A1753" s="19">
        <v>3890</v>
      </c>
      <c r="B1753" s="19" t="s">
        <v>2730</v>
      </c>
      <c r="C1753" s="19" t="s">
        <v>899</v>
      </c>
      <c r="D1753" s="19" t="s">
        <v>1691</v>
      </c>
      <c r="E1753" s="19" t="s">
        <v>1118</v>
      </c>
      <c r="F1753" s="19">
        <v>0</v>
      </c>
      <c r="G1753" s="43">
        <v>0.28999999999999998</v>
      </c>
    </row>
    <row r="1754" spans="1:7" x14ac:dyDescent="0.3">
      <c r="A1754" s="19">
        <v>3878</v>
      </c>
      <c r="B1754" s="19" t="s">
        <v>2731</v>
      </c>
      <c r="C1754" s="19" t="s">
        <v>899</v>
      </c>
      <c r="D1754" s="19" t="s">
        <v>1691</v>
      </c>
      <c r="E1754" s="19" t="s">
        <v>1118</v>
      </c>
      <c r="F1754" s="19">
        <v>0</v>
      </c>
      <c r="G1754" s="43">
        <v>0.28999999999999998</v>
      </c>
    </row>
    <row r="1755" spans="1:7" x14ac:dyDescent="0.3">
      <c r="A1755" s="19">
        <v>3883</v>
      </c>
      <c r="B1755" s="19" t="s">
        <v>2732</v>
      </c>
      <c r="C1755" s="19" t="s">
        <v>899</v>
      </c>
      <c r="D1755" s="19" t="s">
        <v>1691</v>
      </c>
      <c r="E1755" s="19" t="s">
        <v>1118</v>
      </c>
      <c r="F1755" s="19">
        <v>0</v>
      </c>
      <c r="G1755" s="43">
        <v>0.28999999999999998</v>
      </c>
    </row>
    <row r="1756" spans="1:7" x14ac:dyDescent="0.3">
      <c r="A1756" s="19">
        <v>3873</v>
      </c>
      <c r="B1756" s="19" t="s">
        <v>2733</v>
      </c>
      <c r="C1756" s="19" t="s">
        <v>899</v>
      </c>
      <c r="D1756" s="19" t="s">
        <v>1691</v>
      </c>
      <c r="E1756" s="19" t="s">
        <v>1118</v>
      </c>
      <c r="F1756" s="19">
        <v>0</v>
      </c>
      <c r="G1756" s="43">
        <v>0.28999999999999998</v>
      </c>
    </row>
    <row r="1757" spans="1:7" x14ac:dyDescent="0.3">
      <c r="A1757" s="19">
        <v>3887</v>
      </c>
      <c r="B1757" s="19" t="s">
        <v>2734</v>
      </c>
      <c r="C1757" s="19" t="s">
        <v>899</v>
      </c>
      <c r="D1757" s="19" t="s">
        <v>1691</v>
      </c>
      <c r="E1757" s="19" t="s">
        <v>1118</v>
      </c>
      <c r="F1757" s="19">
        <v>0</v>
      </c>
      <c r="G1757" s="43">
        <v>0.28999999999999998</v>
      </c>
    </row>
    <row r="1758" spans="1:7" x14ac:dyDescent="0.3">
      <c r="A1758" s="19">
        <v>3886</v>
      </c>
      <c r="B1758" s="19" t="s">
        <v>2735</v>
      </c>
      <c r="C1758" s="19" t="s">
        <v>899</v>
      </c>
      <c r="D1758" s="19" t="s">
        <v>1691</v>
      </c>
      <c r="E1758" s="19" t="s">
        <v>1118</v>
      </c>
      <c r="F1758" s="19">
        <v>0</v>
      </c>
      <c r="G1758" s="43">
        <v>0.28999999999999998</v>
      </c>
    </row>
    <row r="1759" spans="1:7" x14ac:dyDescent="0.3">
      <c r="A1759" s="19">
        <v>3880</v>
      </c>
      <c r="B1759" s="19" t="s">
        <v>2736</v>
      </c>
      <c r="C1759" s="19" t="s">
        <v>899</v>
      </c>
      <c r="D1759" s="19" t="s">
        <v>1691</v>
      </c>
      <c r="E1759" s="19" t="s">
        <v>1118</v>
      </c>
      <c r="F1759" s="19">
        <v>0</v>
      </c>
      <c r="G1759" s="43">
        <v>0.28999999999999998</v>
      </c>
    </row>
    <row r="1760" spans="1:7" x14ac:dyDescent="0.3">
      <c r="A1760" s="19">
        <v>3875</v>
      </c>
      <c r="B1760" s="19" t="s">
        <v>2737</v>
      </c>
      <c r="C1760" s="19" t="s">
        <v>899</v>
      </c>
      <c r="D1760" s="19" t="s">
        <v>1691</v>
      </c>
      <c r="E1760" s="19" t="s">
        <v>1118</v>
      </c>
      <c r="F1760" s="19">
        <v>0</v>
      </c>
      <c r="G1760" s="43">
        <v>0.28999999999999998</v>
      </c>
    </row>
    <row r="1761" spans="1:7" x14ac:dyDescent="0.3">
      <c r="A1761" s="19">
        <v>3882</v>
      </c>
      <c r="B1761" s="19" t="s">
        <v>2738</v>
      </c>
      <c r="C1761" s="19" t="s">
        <v>899</v>
      </c>
      <c r="D1761" s="19" t="s">
        <v>1691</v>
      </c>
      <c r="E1761" s="19" t="s">
        <v>1118</v>
      </c>
      <c r="F1761" s="19">
        <v>0</v>
      </c>
      <c r="G1761" s="43">
        <v>0.28999999999999998</v>
      </c>
    </row>
    <row r="1762" spans="1:7" x14ac:dyDescent="0.3">
      <c r="A1762" s="19">
        <v>3877</v>
      </c>
      <c r="B1762" s="19" t="s">
        <v>2739</v>
      </c>
      <c r="C1762" s="19" t="s">
        <v>899</v>
      </c>
      <c r="D1762" s="19" t="s">
        <v>1691</v>
      </c>
      <c r="E1762" s="19" t="s">
        <v>1118</v>
      </c>
      <c r="F1762" s="19">
        <v>0</v>
      </c>
      <c r="G1762" s="43">
        <v>0.28999999999999998</v>
      </c>
    </row>
    <row r="1763" spans="1:7" x14ac:dyDescent="0.3">
      <c r="A1763" s="19">
        <v>3884</v>
      </c>
      <c r="B1763" s="19" t="s">
        <v>2740</v>
      </c>
      <c r="C1763" s="19" t="s">
        <v>899</v>
      </c>
      <c r="D1763" s="19" t="s">
        <v>1691</v>
      </c>
      <c r="E1763" s="19" t="s">
        <v>1118</v>
      </c>
      <c r="F1763" s="19">
        <v>0</v>
      </c>
      <c r="G1763" s="43">
        <v>0.28999999999999998</v>
      </c>
    </row>
    <row r="1764" spans="1:7" x14ac:dyDescent="0.3">
      <c r="A1764" s="19">
        <v>3874</v>
      </c>
      <c r="B1764" s="19" t="s">
        <v>2741</v>
      </c>
      <c r="C1764" s="19" t="s">
        <v>899</v>
      </c>
      <c r="D1764" s="19" t="s">
        <v>1691</v>
      </c>
      <c r="E1764" s="19" t="s">
        <v>1118</v>
      </c>
      <c r="F1764" s="19">
        <v>0</v>
      </c>
      <c r="G1764" s="43">
        <v>0.28999999999999998</v>
      </c>
    </row>
    <row r="1765" spans="1:7" x14ac:dyDescent="0.3">
      <c r="A1765" s="19">
        <v>3891</v>
      </c>
      <c r="B1765" s="19" t="s">
        <v>2742</v>
      </c>
      <c r="C1765" s="19" t="s">
        <v>899</v>
      </c>
      <c r="D1765" s="19" t="s">
        <v>1691</v>
      </c>
      <c r="E1765" s="19" t="s">
        <v>1118</v>
      </c>
      <c r="F1765" s="19">
        <v>0</v>
      </c>
      <c r="G1765" s="43">
        <v>0.28999999999999998</v>
      </c>
    </row>
    <row r="1766" spans="1:7" x14ac:dyDescent="0.3">
      <c r="A1766" s="19">
        <v>3889</v>
      </c>
      <c r="B1766" s="19" t="s">
        <v>2743</v>
      </c>
      <c r="C1766" s="19" t="s">
        <v>899</v>
      </c>
      <c r="D1766" s="19" t="s">
        <v>1691</v>
      </c>
      <c r="E1766" s="19" t="s">
        <v>1118</v>
      </c>
      <c r="F1766" s="19">
        <v>0</v>
      </c>
      <c r="G1766" s="43">
        <v>0.28999999999999998</v>
      </c>
    </row>
    <row r="1767" spans="1:7" x14ac:dyDescent="0.3">
      <c r="A1767" s="19">
        <v>3876</v>
      </c>
      <c r="B1767" s="19" t="s">
        <v>2744</v>
      </c>
      <c r="C1767" s="19" t="s">
        <v>899</v>
      </c>
      <c r="D1767" s="19" t="s">
        <v>1691</v>
      </c>
      <c r="E1767" s="19" t="s">
        <v>1118</v>
      </c>
      <c r="F1767" s="19">
        <v>0</v>
      </c>
      <c r="G1767" s="43">
        <v>0.28999999999999998</v>
      </c>
    </row>
    <row r="1768" spans="1:7" x14ac:dyDescent="0.3">
      <c r="A1768" s="19">
        <v>3885</v>
      </c>
      <c r="B1768" s="19" t="s">
        <v>2745</v>
      </c>
      <c r="C1768" s="19" t="s">
        <v>899</v>
      </c>
      <c r="D1768" s="19" t="s">
        <v>1691</v>
      </c>
      <c r="E1768" s="19" t="s">
        <v>1118</v>
      </c>
      <c r="F1768" s="19">
        <v>0</v>
      </c>
      <c r="G1768" s="43">
        <v>0.28999999999999998</v>
      </c>
    </row>
    <row r="1769" spans="1:7" x14ac:dyDescent="0.3">
      <c r="A1769" s="19">
        <v>3879</v>
      </c>
      <c r="B1769" s="19" t="s">
        <v>2746</v>
      </c>
      <c r="C1769" s="19" t="s">
        <v>899</v>
      </c>
      <c r="D1769" s="19" t="s">
        <v>1691</v>
      </c>
      <c r="E1769" s="19" t="s">
        <v>1118</v>
      </c>
      <c r="F1769" s="19">
        <v>0</v>
      </c>
      <c r="G1769" s="43">
        <v>0.28999999999999998</v>
      </c>
    </row>
    <row r="1770" spans="1:7" x14ac:dyDescent="0.3">
      <c r="A1770" s="19">
        <v>3881</v>
      </c>
      <c r="B1770" s="19" t="s">
        <v>2747</v>
      </c>
      <c r="C1770" s="19" t="s">
        <v>899</v>
      </c>
      <c r="D1770" s="19" t="s">
        <v>1691</v>
      </c>
      <c r="E1770" s="19" t="s">
        <v>1118</v>
      </c>
      <c r="F1770" s="19">
        <v>0</v>
      </c>
      <c r="G1770" s="43">
        <v>0.28999999999999998</v>
      </c>
    </row>
    <row r="1771" spans="1:7" x14ac:dyDescent="0.3">
      <c r="A1771" s="19">
        <v>3888</v>
      </c>
      <c r="B1771" s="19" t="s">
        <v>2748</v>
      </c>
      <c r="C1771" s="19" t="s">
        <v>899</v>
      </c>
      <c r="D1771" s="19" t="s">
        <v>1691</v>
      </c>
      <c r="E1771" s="19" t="s">
        <v>1118</v>
      </c>
      <c r="F1771" s="19">
        <v>0</v>
      </c>
      <c r="G1771" s="43">
        <v>0.28999999999999998</v>
      </c>
    </row>
    <row r="1772" spans="1:7" x14ac:dyDescent="0.3">
      <c r="A1772" s="19">
        <v>3168</v>
      </c>
      <c r="B1772" s="19" t="s">
        <v>2749</v>
      </c>
      <c r="C1772" s="19" t="s">
        <v>899</v>
      </c>
      <c r="D1772" s="19" t="s">
        <v>1045</v>
      </c>
      <c r="E1772" s="19" t="s">
        <v>1118</v>
      </c>
      <c r="F1772" s="19">
        <v>0</v>
      </c>
      <c r="G1772" s="43">
        <v>0</v>
      </c>
    </row>
    <row r="1773" spans="1:7" x14ac:dyDescent="0.3">
      <c r="A1773" s="19">
        <v>3169</v>
      </c>
      <c r="B1773" s="19" t="s">
        <v>2750</v>
      </c>
      <c r="C1773" s="19" t="s">
        <v>899</v>
      </c>
      <c r="D1773" s="19" t="s">
        <v>1045</v>
      </c>
      <c r="E1773" s="19" t="s">
        <v>1118</v>
      </c>
      <c r="F1773" s="19">
        <v>0</v>
      </c>
      <c r="G1773" s="43">
        <v>0</v>
      </c>
    </row>
    <row r="1774" spans="1:7" x14ac:dyDescent="0.3">
      <c r="A1774" s="19">
        <v>3170</v>
      </c>
      <c r="B1774" s="19" t="s">
        <v>2751</v>
      </c>
      <c r="C1774" s="19" t="s">
        <v>899</v>
      </c>
      <c r="D1774" s="19" t="s">
        <v>1045</v>
      </c>
      <c r="E1774" s="19" t="s">
        <v>1118</v>
      </c>
      <c r="F1774" s="19">
        <v>0</v>
      </c>
      <c r="G1774" s="43">
        <v>0</v>
      </c>
    </row>
    <row r="1775" spans="1:7" x14ac:dyDescent="0.3">
      <c r="A1775" s="19">
        <v>3171</v>
      </c>
      <c r="B1775" s="19" t="s">
        <v>2752</v>
      </c>
      <c r="C1775" s="19" t="s">
        <v>899</v>
      </c>
      <c r="D1775" s="19" t="s">
        <v>1045</v>
      </c>
      <c r="E1775" s="19" t="s">
        <v>1118</v>
      </c>
      <c r="F1775" s="19">
        <v>0</v>
      </c>
      <c r="G1775" s="43">
        <v>0</v>
      </c>
    </row>
    <row r="1776" spans="1:7" x14ac:dyDescent="0.3">
      <c r="A1776" s="19">
        <v>3172</v>
      </c>
      <c r="B1776" s="19" t="s">
        <v>2753</v>
      </c>
      <c r="C1776" s="19" t="s">
        <v>899</v>
      </c>
      <c r="D1776" s="19" t="s">
        <v>1045</v>
      </c>
      <c r="E1776" s="19" t="s">
        <v>1118</v>
      </c>
      <c r="F1776" s="19">
        <v>0</v>
      </c>
      <c r="G1776" s="43">
        <v>0</v>
      </c>
    </row>
    <row r="1777" spans="1:7" x14ac:dyDescent="0.3">
      <c r="A1777" s="19">
        <v>3173</v>
      </c>
      <c r="B1777" s="19" t="s">
        <v>2754</v>
      </c>
      <c r="C1777" s="19" t="s">
        <v>899</v>
      </c>
      <c r="D1777" s="19" t="s">
        <v>1045</v>
      </c>
      <c r="E1777" s="19" t="s">
        <v>1118</v>
      </c>
      <c r="F1777" s="19">
        <v>0</v>
      </c>
      <c r="G1777" s="43">
        <v>0</v>
      </c>
    </row>
    <row r="1778" spans="1:7" x14ac:dyDescent="0.3">
      <c r="A1778" s="19">
        <v>4060</v>
      </c>
      <c r="B1778" s="19" t="s">
        <v>2755</v>
      </c>
      <c r="C1778" s="19" t="s">
        <v>899</v>
      </c>
      <c r="D1778" s="19" t="s">
        <v>1045</v>
      </c>
      <c r="E1778" s="19" t="s">
        <v>2756</v>
      </c>
      <c r="F1778" s="19">
        <v>0</v>
      </c>
      <c r="G1778" s="43">
        <v>0.78</v>
      </c>
    </row>
    <row r="1779" spans="1:7" x14ac:dyDescent="0.3">
      <c r="A1779" s="19">
        <v>4062</v>
      </c>
      <c r="B1779" s="19" t="s">
        <v>2757</v>
      </c>
      <c r="C1779" s="19" t="s">
        <v>899</v>
      </c>
      <c r="D1779" s="19" t="s">
        <v>1045</v>
      </c>
      <c r="E1779" s="19" t="s">
        <v>2756</v>
      </c>
      <c r="F1779" s="19">
        <v>0</v>
      </c>
      <c r="G1779" s="43">
        <v>1.18</v>
      </c>
    </row>
    <row r="1780" spans="1:7" x14ac:dyDescent="0.3">
      <c r="A1780" s="19">
        <v>4061</v>
      </c>
      <c r="B1780" s="19" t="s">
        <v>2758</v>
      </c>
      <c r="C1780" s="19" t="s">
        <v>899</v>
      </c>
      <c r="D1780" s="19" t="s">
        <v>1045</v>
      </c>
      <c r="E1780" s="19" t="s">
        <v>2756</v>
      </c>
      <c r="F1780" s="19">
        <v>0</v>
      </c>
      <c r="G1780" s="43">
        <v>0.78</v>
      </c>
    </row>
    <row r="1781" spans="1:7" x14ac:dyDescent="0.3">
      <c r="A1781" s="19">
        <v>155</v>
      </c>
      <c r="B1781" s="19" t="s">
        <v>2759</v>
      </c>
      <c r="C1781" s="19" t="s">
        <v>899</v>
      </c>
      <c r="D1781" s="19" t="s">
        <v>1045</v>
      </c>
      <c r="E1781" s="19" t="s">
        <v>2756</v>
      </c>
      <c r="F1781" s="19">
        <v>0</v>
      </c>
      <c r="G1781" s="43">
        <v>1.18</v>
      </c>
    </row>
    <row r="1782" spans="1:7" x14ac:dyDescent="0.3">
      <c r="A1782" s="19">
        <v>167</v>
      </c>
      <c r="B1782" s="19" t="s">
        <v>2760</v>
      </c>
      <c r="C1782" s="19" t="s">
        <v>899</v>
      </c>
      <c r="D1782" s="19" t="s">
        <v>1045</v>
      </c>
      <c r="E1782" s="19" t="s">
        <v>2756</v>
      </c>
      <c r="F1782" s="19">
        <v>0</v>
      </c>
      <c r="G1782" s="43">
        <v>0.78</v>
      </c>
    </row>
    <row r="1783" spans="1:7" x14ac:dyDescent="0.3">
      <c r="A1783" s="19">
        <v>708</v>
      </c>
      <c r="B1783" s="19" t="s">
        <v>2761</v>
      </c>
      <c r="C1783" s="19" t="s">
        <v>899</v>
      </c>
      <c r="D1783" s="19" t="s">
        <v>1045</v>
      </c>
      <c r="E1783" s="19" t="s">
        <v>2756</v>
      </c>
      <c r="F1783" s="19">
        <v>0</v>
      </c>
      <c r="G1783" s="43">
        <v>0.72</v>
      </c>
    </row>
    <row r="1784" spans="1:7" x14ac:dyDescent="0.3">
      <c r="A1784" s="19">
        <v>170</v>
      </c>
      <c r="B1784" s="19" t="s">
        <v>2762</v>
      </c>
      <c r="C1784" s="19" t="s">
        <v>899</v>
      </c>
      <c r="D1784" s="19" t="s">
        <v>1045</v>
      </c>
      <c r="E1784" s="19" t="s">
        <v>2756</v>
      </c>
      <c r="F1784" s="19">
        <v>0</v>
      </c>
      <c r="G1784" s="43">
        <v>0.78</v>
      </c>
    </row>
    <row r="1785" spans="1:7" x14ac:dyDescent="0.3">
      <c r="A1785" s="19">
        <v>707</v>
      </c>
      <c r="B1785" s="19" t="s">
        <v>2763</v>
      </c>
      <c r="C1785" s="19" t="s">
        <v>899</v>
      </c>
      <c r="D1785" s="19" t="s">
        <v>1045</v>
      </c>
      <c r="E1785" s="19" t="s">
        <v>2756</v>
      </c>
      <c r="F1785" s="19">
        <v>0</v>
      </c>
      <c r="G1785" s="43">
        <v>0.72</v>
      </c>
    </row>
    <row r="1786" spans="1:7" x14ac:dyDescent="0.3">
      <c r="A1786" s="19">
        <v>168</v>
      </c>
      <c r="B1786" s="19" t="s">
        <v>2764</v>
      </c>
      <c r="C1786" s="19" t="s">
        <v>899</v>
      </c>
      <c r="D1786" s="19" t="s">
        <v>1045</v>
      </c>
      <c r="E1786" s="19" t="s">
        <v>2756</v>
      </c>
      <c r="F1786" s="19">
        <v>0</v>
      </c>
      <c r="G1786" s="43">
        <v>1.18</v>
      </c>
    </row>
    <row r="1787" spans="1:7" x14ac:dyDescent="0.3">
      <c r="A1787" s="19">
        <v>160</v>
      </c>
      <c r="B1787" s="19" t="s">
        <v>2765</v>
      </c>
      <c r="C1787" s="19" t="s">
        <v>899</v>
      </c>
      <c r="D1787" s="19" t="s">
        <v>1045</v>
      </c>
      <c r="E1787" s="19" t="s">
        <v>2756</v>
      </c>
      <c r="F1787" s="19">
        <v>0</v>
      </c>
      <c r="G1787" s="43">
        <v>1.18</v>
      </c>
    </row>
    <row r="1788" spans="1:7" x14ac:dyDescent="0.3">
      <c r="A1788" s="19">
        <v>702</v>
      </c>
      <c r="B1788" s="19" t="s">
        <v>2766</v>
      </c>
      <c r="C1788" s="19" t="s">
        <v>899</v>
      </c>
      <c r="D1788" s="19" t="s">
        <v>1045</v>
      </c>
      <c r="E1788" s="19" t="s">
        <v>2756</v>
      </c>
      <c r="F1788" s="19">
        <v>0</v>
      </c>
      <c r="G1788" s="43">
        <v>0.72</v>
      </c>
    </row>
    <row r="1789" spans="1:7" x14ac:dyDescent="0.3">
      <c r="A1789" s="19">
        <v>174</v>
      </c>
      <c r="B1789" s="19" t="s">
        <v>2767</v>
      </c>
      <c r="C1789" s="19" t="s">
        <v>899</v>
      </c>
      <c r="D1789" s="19" t="s">
        <v>1045</v>
      </c>
      <c r="E1789" s="19" t="s">
        <v>2756</v>
      </c>
      <c r="F1789" s="19">
        <v>0</v>
      </c>
      <c r="G1789" s="43">
        <v>1.18</v>
      </c>
    </row>
    <row r="1790" spans="1:7" x14ac:dyDescent="0.3">
      <c r="A1790" s="19">
        <v>704</v>
      </c>
      <c r="B1790" s="19" t="s">
        <v>2768</v>
      </c>
      <c r="C1790" s="19" t="s">
        <v>899</v>
      </c>
      <c r="D1790" s="19" t="s">
        <v>1045</v>
      </c>
      <c r="E1790" s="19" t="s">
        <v>2756</v>
      </c>
      <c r="F1790" s="19">
        <v>0</v>
      </c>
      <c r="G1790" s="43">
        <v>0.72</v>
      </c>
    </row>
    <row r="1791" spans="1:7" x14ac:dyDescent="0.3">
      <c r="A1791" s="19">
        <v>700</v>
      </c>
      <c r="B1791" s="19" t="s">
        <v>2769</v>
      </c>
      <c r="C1791" s="19" t="s">
        <v>899</v>
      </c>
      <c r="D1791" s="19" t="s">
        <v>1045</v>
      </c>
      <c r="E1791" s="19" t="s">
        <v>2756</v>
      </c>
      <c r="F1791" s="19">
        <v>0</v>
      </c>
      <c r="G1791" s="43">
        <v>0.72</v>
      </c>
    </row>
    <row r="1792" spans="1:7" x14ac:dyDescent="0.3">
      <c r="A1792" s="19">
        <v>173</v>
      </c>
      <c r="B1792" s="19" t="s">
        <v>2770</v>
      </c>
      <c r="C1792" s="19" t="s">
        <v>899</v>
      </c>
      <c r="D1792" s="19" t="s">
        <v>1045</v>
      </c>
      <c r="E1792" s="19" t="s">
        <v>2756</v>
      </c>
      <c r="F1792" s="19">
        <v>0</v>
      </c>
      <c r="G1792" s="43">
        <v>1.18</v>
      </c>
    </row>
    <row r="1793" spans="1:7" x14ac:dyDescent="0.3">
      <c r="A1793" s="19">
        <v>703</v>
      </c>
      <c r="B1793" s="19" t="s">
        <v>2771</v>
      </c>
      <c r="C1793" s="19" t="s">
        <v>899</v>
      </c>
      <c r="D1793" s="19" t="s">
        <v>1045</v>
      </c>
      <c r="E1793" s="19" t="s">
        <v>2756</v>
      </c>
      <c r="F1793" s="19">
        <v>0</v>
      </c>
      <c r="G1793" s="43">
        <v>0.72</v>
      </c>
    </row>
    <row r="1794" spans="1:7" x14ac:dyDescent="0.3">
      <c r="A1794" s="19">
        <v>159</v>
      </c>
      <c r="B1794" s="19" t="s">
        <v>2772</v>
      </c>
      <c r="C1794" s="19" t="s">
        <v>899</v>
      </c>
      <c r="D1794" s="19" t="s">
        <v>1045</v>
      </c>
      <c r="E1794" s="19" t="s">
        <v>2756</v>
      </c>
      <c r="F1794" s="19">
        <v>0</v>
      </c>
      <c r="G1794" s="43">
        <v>1.18</v>
      </c>
    </row>
    <row r="1795" spans="1:7" x14ac:dyDescent="0.3">
      <c r="A1795" s="19">
        <v>163</v>
      </c>
      <c r="B1795" s="19" t="s">
        <v>2773</v>
      </c>
      <c r="C1795" s="19" t="s">
        <v>899</v>
      </c>
      <c r="D1795" s="19" t="s">
        <v>1045</v>
      </c>
      <c r="E1795" s="19" t="s">
        <v>2756</v>
      </c>
      <c r="F1795" s="19">
        <v>0</v>
      </c>
      <c r="G1795" s="43">
        <v>1.18</v>
      </c>
    </row>
    <row r="1796" spans="1:7" x14ac:dyDescent="0.3">
      <c r="A1796" s="19">
        <v>165</v>
      </c>
      <c r="B1796" s="19" t="s">
        <v>2774</v>
      </c>
      <c r="C1796" s="19" t="s">
        <v>899</v>
      </c>
      <c r="D1796" s="19" t="s">
        <v>1045</v>
      </c>
      <c r="E1796" s="19" t="s">
        <v>2756</v>
      </c>
      <c r="F1796" s="19">
        <v>0</v>
      </c>
      <c r="G1796" s="43">
        <v>0.72</v>
      </c>
    </row>
    <row r="1797" spans="1:7" x14ac:dyDescent="0.3">
      <c r="A1797" s="19">
        <v>157</v>
      </c>
      <c r="B1797" s="19" t="s">
        <v>2775</v>
      </c>
      <c r="C1797" s="19" t="s">
        <v>899</v>
      </c>
      <c r="D1797" s="19" t="s">
        <v>1045</v>
      </c>
      <c r="E1797" s="19" t="s">
        <v>2756</v>
      </c>
      <c r="F1797" s="19">
        <v>0</v>
      </c>
      <c r="G1797" s="43">
        <v>0.91</v>
      </c>
    </row>
    <row r="1798" spans="1:7" x14ac:dyDescent="0.3">
      <c r="A1798" s="19">
        <v>172</v>
      </c>
      <c r="B1798" s="19" t="s">
        <v>2776</v>
      </c>
      <c r="C1798" s="19" t="s">
        <v>899</v>
      </c>
      <c r="D1798" s="19" t="s">
        <v>1045</v>
      </c>
      <c r="E1798" s="19" t="s">
        <v>2756</v>
      </c>
      <c r="F1798" s="19">
        <v>0</v>
      </c>
      <c r="G1798" s="43">
        <v>1.18</v>
      </c>
    </row>
    <row r="1799" spans="1:7" x14ac:dyDescent="0.3">
      <c r="A1799" s="19">
        <v>705</v>
      </c>
      <c r="B1799" s="19" t="s">
        <v>2777</v>
      </c>
      <c r="C1799" s="19" t="s">
        <v>899</v>
      </c>
      <c r="D1799" s="19" t="s">
        <v>1045</v>
      </c>
      <c r="E1799" s="19" t="s">
        <v>2756</v>
      </c>
      <c r="F1799" s="19">
        <v>0</v>
      </c>
      <c r="G1799" s="43">
        <v>0.72</v>
      </c>
    </row>
    <row r="1800" spans="1:7" x14ac:dyDescent="0.3">
      <c r="A1800" s="19">
        <v>177</v>
      </c>
      <c r="B1800" s="19" t="s">
        <v>2778</v>
      </c>
      <c r="C1800" s="19" t="s">
        <v>899</v>
      </c>
      <c r="D1800" s="19" t="s">
        <v>1045</v>
      </c>
      <c r="E1800" s="19" t="s">
        <v>2756</v>
      </c>
      <c r="F1800" s="19">
        <v>0</v>
      </c>
      <c r="G1800" s="43">
        <v>1.18</v>
      </c>
    </row>
    <row r="1801" spans="1:7" x14ac:dyDescent="0.3">
      <c r="A1801" s="19">
        <v>179</v>
      </c>
      <c r="B1801" s="19" t="s">
        <v>2779</v>
      </c>
      <c r="C1801" s="19" t="s">
        <v>899</v>
      </c>
      <c r="D1801" s="19" t="s">
        <v>1045</v>
      </c>
      <c r="E1801" s="19" t="s">
        <v>2756</v>
      </c>
      <c r="F1801" s="19">
        <v>0</v>
      </c>
      <c r="G1801" s="43">
        <v>1.18</v>
      </c>
    </row>
    <row r="1802" spans="1:7" x14ac:dyDescent="0.3">
      <c r="A1802" s="19">
        <v>701</v>
      </c>
      <c r="B1802" s="19" t="s">
        <v>2780</v>
      </c>
      <c r="C1802" s="19" t="s">
        <v>899</v>
      </c>
      <c r="D1802" s="19" t="s">
        <v>1045</v>
      </c>
      <c r="E1802" s="19" t="s">
        <v>2756</v>
      </c>
      <c r="F1802" s="19">
        <v>0</v>
      </c>
      <c r="G1802" s="43">
        <v>0.72</v>
      </c>
    </row>
    <row r="1803" spans="1:7" x14ac:dyDescent="0.3">
      <c r="A1803" s="19">
        <v>709</v>
      </c>
      <c r="B1803" s="19" t="s">
        <v>2781</v>
      </c>
      <c r="C1803" s="19" t="s">
        <v>899</v>
      </c>
      <c r="D1803" s="19" t="s">
        <v>1045</v>
      </c>
      <c r="E1803" s="19" t="s">
        <v>2756</v>
      </c>
      <c r="F1803" s="19">
        <v>0</v>
      </c>
      <c r="G1803" s="43">
        <v>0.72</v>
      </c>
    </row>
    <row r="1804" spans="1:7" x14ac:dyDescent="0.3">
      <c r="A1804" s="19">
        <v>169</v>
      </c>
      <c r="B1804" s="19" t="s">
        <v>2782</v>
      </c>
      <c r="C1804" s="19" t="s">
        <v>899</v>
      </c>
      <c r="D1804" s="19" t="s">
        <v>1045</v>
      </c>
      <c r="E1804" s="19" t="s">
        <v>2756</v>
      </c>
      <c r="F1804" s="19">
        <v>0</v>
      </c>
      <c r="G1804" s="43">
        <v>1.18</v>
      </c>
    </row>
    <row r="1805" spans="1:7" x14ac:dyDescent="0.3">
      <c r="A1805" s="19">
        <v>175</v>
      </c>
      <c r="B1805" s="19" t="s">
        <v>2783</v>
      </c>
      <c r="C1805" s="19" t="s">
        <v>899</v>
      </c>
      <c r="D1805" s="19" t="s">
        <v>1045</v>
      </c>
      <c r="E1805" s="19" t="s">
        <v>2756</v>
      </c>
      <c r="F1805" s="19">
        <v>0</v>
      </c>
      <c r="G1805" s="43">
        <v>1.18</v>
      </c>
    </row>
    <row r="1806" spans="1:7" x14ac:dyDescent="0.3">
      <c r="A1806" s="19">
        <v>171</v>
      </c>
      <c r="B1806" s="19" t="s">
        <v>2784</v>
      </c>
      <c r="C1806" s="19" t="s">
        <v>899</v>
      </c>
      <c r="D1806" s="19" t="s">
        <v>1045</v>
      </c>
      <c r="E1806" s="19" t="s">
        <v>2756</v>
      </c>
      <c r="F1806" s="19">
        <v>0</v>
      </c>
      <c r="G1806" s="43">
        <v>0.72</v>
      </c>
    </row>
    <row r="1807" spans="1:7" x14ac:dyDescent="0.3">
      <c r="A1807" s="19">
        <v>161</v>
      </c>
      <c r="B1807" s="19" t="s">
        <v>2785</v>
      </c>
      <c r="C1807" s="19" t="s">
        <v>899</v>
      </c>
      <c r="D1807" s="19" t="s">
        <v>1045</v>
      </c>
      <c r="E1807" s="19" t="s">
        <v>2756</v>
      </c>
      <c r="F1807" s="19">
        <v>0</v>
      </c>
      <c r="G1807" s="43">
        <v>0.78</v>
      </c>
    </row>
    <row r="1808" spans="1:7" x14ac:dyDescent="0.3">
      <c r="A1808" s="19">
        <v>166</v>
      </c>
      <c r="B1808" s="19" t="s">
        <v>2786</v>
      </c>
      <c r="C1808" s="19" t="s">
        <v>899</v>
      </c>
      <c r="D1808" s="19" t="s">
        <v>1045</v>
      </c>
      <c r="E1808" s="19" t="s">
        <v>2756</v>
      </c>
      <c r="F1808" s="19">
        <v>0</v>
      </c>
      <c r="G1808" s="43">
        <v>1.18</v>
      </c>
    </row>
    <row r="1809" spans="1:7" x14ac:dyDescent="0.3">
      <c r="A1809" s="19">
        <v>178</v>
      </c>
      <c r="B1809" s="19" t="s">
        <v>2787</v>
      </c>
      <c r="C1809" s="19" t="s">
        <v>899</v>
      </c>
      <c r="D1809" s="19" t="s">
        <v>1045</v>
      </c>
      <c r="E1809" s="19" t="s">
        <v>2756</v>
      </c>
      <c r="F1809" s="19">
        <v>0</v>
      </c>
      <c r="G1809" s="43">
        <v>0.56999999999999995</v>
      </c>
    </row>
    <row r="1810" spans="1:7" x14ac:dyDescent="0.3">
      <c r="A1810" s="19">
        <v>154</v>
      </c>
      <c r="B1810" s="19" t="s">
        <v>2788</v>
      </c>
      <c r="C1810" s="19" t="s">
        <v>899</v>
      </c>
      <c r="D1810" s="19" t="s">
        <v>1045</v>
      </c>
      <c r="E1810" s="19" t="s">
        <v>2756</v>
      </c>
      <c r="F1810" s="19">
        <v>0</v>
      </c>
      <c r="G1810" s="43">
        <v>1.18</v>
      </c>
    </row>
    <row r="1811" spans="1:7" x14ac:dyDescent="0.3">
      <c r="A1811" s="19">
        <v>164</v>
      </c>
      <c r="B1811" s="19" t="s">
        <v>2789</v>
      </c>
      <c r="C1811" s="19" t="s">
        <v>899</v>
      </c>
      <c r="D1811" s="19" t="s">
        <v>1045</v>
      </c>
      <c r="E1811" s="19" t="s">
        <v>2756</v>
      </c>
      <c r="F1811" s="19">
        <v>0</v>
      </c>
      <c r="G1811" s="43">
        <v>1.18</v>
      </c>
    </row>
    <row r="1812" spans="1:7" x14ac:dyDescent="0.3">
      <c r="A1812" s="19">
        <v>162</v>
      </c>
      <c r="B1812" s="19" t="s">
        <v>2790</v>
      </c>
      <c r="C1812" s="19" t="s">
        <v>899</v>
      </c>
      <c r="D1812" s="19" t="s">
        <v>1045</v>
      </c>
      <c r="E1812" s="19" t="s">
        <v>2756</v>
      </c>
      <c r="F1812" s="19">
        <v>0</v>
      </c>
      <c r="G1812" s="43">
        <v>1.18</v>
      </c>
    </row>
    <row r="1813" spans="1:7" x14ac:dyDescent="0.3">
      <c r="A1813" s="19">
        <v>176</v>
      </c>
      <c r="B1813" s="19" t="s">
        <v>2791</v>
      </c>
      <c r="C1813" s="19" t="s">
        <v>899</v>
      </c>
      <c r="D1813" s="19" t="s">
        <v>1045</v>
      </c>
      <c r="E1813" s="19" t="s">
        <v>2756</v>
      </c>
      <c r="F1813" s="19">
        <v>0</v>
      </c>
      <c r="G1813" s="43">
        <v>1.18</v>
      </c>
    </row>
    <row r="1814" spans="1:7" x14ac:dyDescent="0.3">
      <c r="A1814" s="19">
        <v>706</v>
      </c>
      <c r="B1814" s="19" t="s">
        <v>2792</v>
      </c>
      <c r="C1814" s="19" t="s">
        <v>899</v>
      </c>
      <c r="D1814" s="19" t="s">
        <v>1045</v>
      </c>
      <c r="E1814" s="19" t="s">
        <v>2756</v>
      </c>
      <c r="F1814" s="19">
        <v>0</v>
      </c>
      <c r="G1814" s="43">
        <v>0.72</v>
      </c>
    </row>
    <row r="1815" spans="1:7" x14ac:dyDescent="0.3">
      <c r="A1815" s="19">
        <v>710</v>
      </c>
      <c r="B1815" s="19" t="s">
        <v>2793</v>
      </c>
      <c r="C1815" s="19" t="s">
        <v>899</v>
      </c>
      <c r="D1815" s="19" t="s">
        <v>1045</v>
      </c>
      <c r="E1815" s="19" t="s">
        <v>2756</v>
      </c>
      <c r="F1815" s="19">
        <v>0</v>
      </c>
      <c r="G1815" s="43">
        <v>0.72</v>
      </c>
    </row>
    <row r="1816" spans="1:7" x14ac:dyDescent="0.3">
      <c r="A1816" s="19">
        <v>3141</v>
      </c>
      <c r="B1816" s="19" t="s">
        <v>2794</v>
      </c>
      <c r="C1816" s="19" t="s">
        <v>899</v>
      </c>
      <c r="D1816" s="19" t="s">
        <v>1045</v>
      </c>
      <c r="E1816" s="19" t="s">
        <v>1118</v>
      </c>
      <c r="F1816" s="19">
        <v>0</v>
      </c>
      <c r="G1816" s="43">
        <v>0.12</v>
      </c>
    </row>
    <row r="1817" spans="1:7" x14ac:dyDescent="0.3">
      <c r="A1817" s="19">
        <v>974</v>
      </c>
      <c r="B1817" s="19" t="s">
        <v>2795</v>
      </c>
      <c r="C1817" s="19" t="s">
        <v>899</v>
      </c>
      <c r="D1817" s="19" t="s">
        <v>1045</v>
      </c>
      <c r="E1817" s="19" t="s">
        <v>1118</v>
      </c>
      <c r="F1817" s="19">
        <v>0</v>
      </c>
      <c r="G1817" s="43">
        <v>0.12</v>
      </c>
    </row>
    <row r="1818" spans="1:7" x14ac:dyDescent="0.3">
      <c r="A1818" s="19">
        <v>975</v>
      </c>
      <c r="B1818" s="19" t="s">
        <v>2796</v>
      </c>
      <c r="C1818" s="19" t="s">
        <v>899</v>
      </c>
      <c r="D1818" s="19" t="s">
        <v>1045</v>
      </c>
      <c r="E1818" s="19" t="s">
        <v>1118</v>
      </c>
      <c r="F1818" s="19">
        <v>0</v>
      </c>
      <c r="G1818" s="43">
        <v>0.12</v>
      </c>
    </row>
    <row r="1819" spans="1:7" x14ac:dyDescent="0.3">
      <c r="A1819" s="19">
        <v>2246</v>
      </c>
      <c r="B1819" s="19" t="s">
        <v>2797</v>
      </c>
      <c r="C1819" s="19" t="s">
        <v>899</v>
      </c>
      <c r="D1819" s="19" t="s">
        <v>1045</v>
      </c>
      <c r="E1819" s="19" t="s">
        <v>1118</v>
      </c>
      <c r="F1819" s="19">
        <v>0</v>
      </c>
      <c r="G1819" s="43">
        <v>0.12</v>
      </c>
    </row>
    <row r="1820" spans="1:7" x14ac:dyDescent="0.3">
      <c r="A1820" s="19">
        <v>2247</v>
      </c>
      <c r="B1820" s="19" t="s">
        <v>2798</v>
      </c>
      <c r="C1820" s="19" t="s">
        <v>899</v>
      </c>
      <c r="D1820" s="19" t="s">
        <v>1045</v>
      </c>
      <c r="E1820" s="19" t="s">
        <v>1118</v>
      </c>
      <c r="F1820" s="19">
        <v>0</v>
      </c>
      <c r="G1820" s="43">
        <v>0.12</v>
      </c>
    </row>
    <row r="1821" spans="1:7" x14ac:dyDescent="0.3">
      <c r="A1821" s="19">
        <v>2249</v>
      </c>
      <c r="B1821" s="19" t="s">
        <v>2799</v>
      </c>
      <c r="C1821" s="19" t="s">
        <v>899</v>
      </c>
      <c r="D1821" s="19" t="s">
        <v>1045</v>
      </c>
      <c r="E1821" s="19" t="s">
        <v>1118</v>
      </c>
      <c r="F1821" s="19">
        <v>0</v>
      </c>
      <c r="G1821" s="43">
        <v>0.12</v>
      </c>
    </row>
    <row r="1822" spans="1:7" x14ac:dyDescent="0.3">
      <c r="A1822" s="19">
        <v>2250</v>
      </c>
      <c r="B1822" s="19" t="s">
        <v>2800</v>
      </c>
      <c r="C1822" s="19" t="s">
        <v>899</v>
      </c>
      <c r="D1822" s="19" t="s">
        <v>1045</v>
      </c>
      <c r="E1822" s="19" t="s">
        <v>1118</v>
      </c>
      <c r="F1822" s="19">
        <v>0</v>
      </c>
      <c r="G1822" s="43">
        <v>0.12</v>
      </c>
    </row>
    <row r="1823" spans="1:7" x14ac:dyDescent="0.3">
      <c r="A1823" s="19">
        <v>2251</v>
      </c>
      <c r="B1823" s="19" t="s">
        <v>2801</v>
      </c>
      <c r="C1823" s="19" t="s">
        <v>899</v>
      </c>
      <c r="D1823" s="19" t="s">
        <v>1045</v>
      </c>
      <c r="E1823" s="19" t="s">
        <v>1118</v>
      </c>
      <c r="F1823" s="19">
        <v>0</v>
      </c>
      <c r="G1823" s="43">
        <v>0.12</v>
      </c>
    </row>
    <row r="1824" spans="1:7" x14ac:dyDescent="0.3">
      <c r="A1824" s="19">
        <v>653</v>
      </c>
      <c r="B1824" s="19" t="s">
        <v>2802</v>
      </c>
      <c r="C1824" s="19" t="s">
        <v>899</v>
      </c>
      <c r="D1824" s="19" t="s">
        <v>1045</v>
      </c>
      <c r="E1824" s="19" t="s">
        <v>1118</v>
      </c>
      <c r="F1824" s="19">
        <v>0</v>
      </c>
      <c r="G1824" s="43">
        <v>0.14000000000000001</v>
      </c>
    </row>
    <row r="1825" spans="1:7" x14ac:dyDescent="0.3">
      <c r="A1825" s="19">
        <v>1387</v>
      </c>
      <c r="B1825" s="19" t="s">
        <v>2803</v>
      </c>
      <c r="C1825" s="19" t="s">
        <v>899</v>
      </c>
      <c r="D1825" s="19" t="s">
        <v>1045</v>
      </c>
      <c r="E1825" s="19" t="s">
        <v>1118</v>
      </c>
      <c r="F1825" s="19">
        <v>0</v>
      </c>
      <c r="G1825" s="43">
        <v>0.12</v>
      </c>
    </row>
    <row r="1826" spans="1:7" x14ac:dyDescent="0.3">
      <c r="A1826" s="19">
        <v>3399</v>
      </c>
      <c r="B1826" s="19" t="s">
        <v>2804</v>
      </c>
      <c r="C1826" s="19" t="s">
        <v>899</v>
      </c>
      <c r="D1826" s="19" t="s">
        <v>1045</v>
      </c>
      <c r="E1826" s="19" t="s">
        <v>1118</v>
      </c>
      <c r="F1826" s="19">
        <v>0</v>
      </c>
      <c r="G1826" s="43">
        <v>0.12</v>
      </c>
    </row>
    <row r="1827" spans="1:7" x14ac:dyDescent="0.3">
      <c r="A1827" s="19">
        <v>2428</v>
      </c>
      <c r="B1827" s="19" t="s">
        <v>2805</v>
      </c>
      <c r="C1827" s="19" t="s">
        <v>899</v>
      </c>
      <c r="D1827" s="19" t="s">
        <v>1045</v>
      </c>
      <c r="E1827" s="19" t="s">
        <v>1118</v>
      </c>
      <c r="F1827" s="19">
        <v>0</v>
      </c>
      <c r="G1827" s="43">
        <v>0.12</v>
      </c>
    </row>
    <row r="1828" spans="1:7" x14ac:dyDescent="0.3">
      <c r="A1828" s="19">
        <v>428</v>
      </c>
      <c r="B1828" s="19" t="s">
        <v>2806</v>
      </c>
      <c r="C1828" s="19" t="s">
        <v>899</v>
      </c>
      <c r="D1828" s="19" t="s">
        <v>1045</v>
      </c>
      <c r="E1828" s="19" t="s">
        <v>1118</v>
      </c>
      <c r="F1828" s="19">
        <v>0</v>
      </c>
      <c r="G1828" s="43">
        <v>0.12</v>
      </c>
    </row>
    <row r="1829" spans="1:7" x14ac:dyDescent="0.3">
      <c r="A1829" s="19">
        <v>872</v>
      </c>
      <c r="B1829" s="19" t="s">
        <v>2807</v>
      </c>
      <c r="C1829" s="19" t="s">
        <v>899</v>
      </c>
      <c r="D1829" s="19" t="s">
        <v>1045</v>
      </c>
      <c r="E1829" s="19" t="s">
        <v>1118</v>
      </c>
      <c r="F1829" s="19">
        <v>0</v>
      </c>
      <c r="G1829" s="43">
        <v>0.2</v>
      </c>
    </row>
    <row r="1830" spans="1:7" x14ac:dyDescent="0.3">
      <c r="A1830" s="19">
        <v>2642</v>
      </c>
      <c r="B1830" s="19" t="s">
        <v>2808</v>
      </c>
      <c r="C1830" s="19" t="s">
        <v>899</v>
      </c>
      <c r="D1830" s="19" t="s">
        <v>1045</v>
      </c>
      <c r="E1830" s="19" t="s">
        <v>1118</v>
      </c>
      <c r="F1830" s="19">
        <v>0</v>
      </c>
      <c r="G1830" s="43">
        <v>0.35</v>
      </c>
    </row>
    <row r="1831" spans="1:7" x14ac:dyDescent="0.3">
      <c r="A1831" s="19">
        <v>2012</v>
      </c>
      <c r="B1831" s="19" t="s">
        <v>2809</v>
      </c>
      <c r="C1831" s="19" t="s">
        <v>899</v>
      </c>
      <c r="D1831" s="19" t="s">
        <v>1045</v>
      </c>
      <c r="E1831" s="19" t="s">
        <v>1118</v>
      </c>
      <c r="F1831" s="19">
        <v>0</v>
      </c>
      <c r="G1831" s="43">
        <v>0.12</v>
      </c>
    </row>
    <row r="1832" spans="1:7" x14ac:dyDescent="0.3">
      <c r="A1832" s="19">
        <v>977</v>
      </c>
      <c r="B1832" s="19" t="s">
        <v>2810</v>
      </c>
      <c r="C1832" s="19" t="s">
        <v>899</v>
      </c>
      <c r="D1832" s="19" t="s">
        <v>1045</v>
      </c>
      <c r="E1832" s="19" t="s">
        <v>1118</v>
      </c>
      <c r="F1832" s="19">
        <v>0</v>
      </c>
      <c r="G1832" s="43">
        <v>0.2</v>
      </c>
    </row>
    <row r="1833" spans="1:7" x14ac:dyDescent="0.3">
      <c r="A1833" s="19">
        <v>2643</v>
      </c>
      <c r="B1833" s="19" t="s">
        <v>2811</v>
      </c>
      <c r="C1833" s="19" t="s">
        <v>899</v>
      </c>
      <c r="D1833" s="19" t="s">
        <v>1045</v>
      </c>
      <c r="E1833" s="19" t="s">
        <v>1118</v>
      </c>
      <c r="F1833" s="19">
        <v>0</v>
      </c>
      <c r="G1833" s="43">
        <v>0.35</v>
      </c>
    </row>
    <row r="1834" spans="1:7" x14ac:dyDescent="0.3">
      <c r="A1834" s="19">
        <v>595</v>
      </c>
      <c r="B1834" s="19" t="s">
        <v>2812</v>
      </c>
      <c r="C1834" s="19" t="s">
        <v>899</v>
      </c>
      <c r="D1834" s="19" t="s">
        <v>1045</v>
      </c>
      <c r="E1834" s="19" t="s">
        <v>1118</v>
      </c>
      <c r="F1834" s="19">
        <v>0</v>
      </c>
      <c r="G1834" s="43">
        <v>0.14000000000000001</v>
      </c>
    </row>
    <row r="1835" spans="1:7" x14ac:dyDescent="0.3">
      <c r="A1835" s="19">
        <v>876</v>
      </c>
      <c r="B1835" s="19" t="s">
        <v>2813</v>
      </c>
      <c r="C1835" s="19" t="s">
        <v>899</v>
      </c>
      <c r="D1835" s="19" t="s">
        <v>1045</v>
      </c>
      <c r="E1835" s="19" t="s">
        <v>1118</v>
      </c>
      <c r="F1835" s="19">
        <v>0</v>
      </c>
      <c r="G1835" s="43">
        <v>0.12</v>
      </c>
    </row>
    <row r="1836" spans="1:7" x14ac:dyDescent="0.3">
      <c r="A1836" s="19">
        <v>1201</v>
      </c>
      <c r="B1836" s="19" t="s">
        <v>2814</v>
      </c>
      <c r="C1836" s="19" t="s">
        <v>899</v>
      </c>
      <c r="D1836" s="19" t="s">
        <v>1045</v>
      </c>
      <c r="E1836" s="19" t="s">
        <v>1118</v>
      </c>
      <c r="F1836" s="19">
        <v>0</v>
      </c>
      <c r="G1836" s="43">
        <v>0.12</v>
      </c>
    </row>
    <row r="1837" spans="1:7" x14ac:dyDescent="0.3">
      <c r="A1837" s="19">
        <v>2124</v>
      </c>
      <c r="B1837" s="19" t="s">
        <v>2815</v>
      </c>
      <c r="C1837" s="19" t="s">
        <v>899</v>
      </c>
      <c r="D1837" s="19" t="s">
        <v>1045</v>
      </c>
      <c r="E1837" s="19" t="s">
        <v>1118</v>
      </c>
      <c r="F1837" s="19">
        <v>0</v>
      </c>
      <c r="G1837" s="43">
        <v>0.15</v>
      </c>
    </row>
    <row r="1838" spans="1:7" x14ac:dyDescent="0.3">
      <c r="A1838" s="19">
        <v>2252</v>
      </c>
      <c r="B1838" s="19" t="s">
        <v>2816</v>
      </c>
      <c r="C1838" s="19" t="s">
        <v>899</v>
      </c>
      <c r="D1838" s="19" t="s">
        <v>1045</v>
      </c>
      <c r="E1838" s="19" t="s">
        <v>1118</v>
      </c>
      <c r="F1838" s="19">
        <v>0</v>
      </c>
      <c r="G1838" s="43">
        <v>0.12</v>
      </c>
    </row>
    <row r="1839" spans="1:7" x14ac:dyDescent="0.3">
      <c r="A1839" s="19">
        <v>2183</v>
      </c>
      <c r="B1839" s="19" t="s">
        <v>2817</v>
      </c>
      <c r="C1839" s="19" t="s">
        <v>899</v>
      </c>
      <c r="D1839" s="19" t="s">
        <v>1045</v>
      </c>
      <c r="E1839" s="19" t="s">
        <v>1118</v>
      </c>
      <c r="F1839" s="19">
        <v>0</v>
      </c>
      <c r="G1839" s="43">
        <v>0.22</v>
      </c>
    </row>
    <row r="1840" spans="1:7" x14ac:dyDescent="0.3">
      <c r="A1840" s="19">
        <v>4067</v>
      </c>
      <c r="B1840" s="19" t="s">
        <v>2818</v>
      </c>
      <c r="C1840" s="19" t="s">
        <v>1338</v>
      </c>
      <c r="D1840" s="19" t="s">
        <v>1045</v>
      </c>
      <c r="E1840" s="19" t="s">
        <v>1118</v>
      </c>
      <c r="F1840" s="19">
        <v>0</v>
      </c>
      <c r="G1840" s="43">
        <v>0.2</v>
      </c>
    </row>
    <row r="1841" spans="1:7" x14ac:dyDescent="0.3">
      <c r="A1841" s="19">
        <v>3336</v>
      </c>
      <c r="B1841" s="19" t="s">
        <v>2819</v>
      </c>
      <c r="C1841" s="19" t="s">
        <v>899</v>
      </c>
      <c r="D1841" s="19" t="s">
        <v>1045</v>
      </c>
      <c r="E1841" s="19" t="s">
        <v>1118</v>
      </c>
      <c r="F1841" s="19">
        <v>0</v>
      </c>
      <c r="G1841" s="43">
        <v>0.12</v>
      </c>
    </row>
    <row r="1842" spans="1:7" x14ac:dyDescent="0.3">
      <c r="A1842" s="19">
        <v>2011</v>
      </c>
      <c r="B1842" s="19" t="s">
        <v>2820</v>
      </c>
      <c r="C1842" s="19" t="s">
        <v>899</v>
      </c>
      <c r="D1842" s="19" t="s">
        <v>1045</v>
      </c>
      <c r="E1842" s="19" t="s">
        <v>1118</v>
      </c>
      <c r="F1842" s="19">
        <v>0</v>
      </c>
      <c r="G1842" s="43">
        <v>0.12</v>
      </c>
    </row>
    <row r="1843" spans="1:7" x14ac:dyDescent="0.3">
      <c r="A1843" s="19">
        <v>2194</v>
      </c>
      <c r="B1843" s="19" t="s">
        <v>2821</v>
      </c>
      <c r="C1843" s="19" t="s">
        <v>899</v>
      </c>
      <c r="D1843" s="19" t="s">
        <v>1045</v>
      </c>
      <c r="E1843" s="19" t="s">
        <v>1118</v>
      </c>
      <c r="F1843" s="19">
        <v>0</v>
      </c>
      <c r="G1843" s="43">
        <v>0.12</v>
      </c>
    </row>
    <row r="1844" spans="1:7" x14ac:dyDescent="0.3">
      <c r="A1844" s="19">
        <v>2429</v>
      </c>
      <c r="B1844" s="19" t="s">
        <v>2822</v>
      </c>
      <c r="C1844" s="19" t="s">
        <v>899</v>
      </c>
      <c r="D1844" s="19" t="s">
        <v>1045</v>
      </c>
      <c r="E1844" s="19" t="s">
        <v>1118</v>
      </c>
      <c r="F1844" s="19">
        <v>0</v>
      </c>
      <c r="G1844" s="43">
        <v>0.2</v>
      </c>
    </row>
    <row r="1845" spans="1:7" x14ac:dyDescent="0.3">
      <c r="A1845" s="19">
        <v>2995</v>
      </c>
      <c r="B1845" s="19" t="s">
        <v>2823</v>
      </c>
      <c r="C1845" s="19" t="s">
        <v>899</v>
      </c>
      <c r="D1845" s="19" t="s">
        <v>1045</v>
      </c>
      <c r="E1845" s="19" t="s">
        <v>1118</v>
      </c>
      <c r="F1845" s="19">
        <v>0</v>
      </c>
      <c r="G1845" s="43">
        <v>0.2</v>
      </c>
    </row>
    <row r="1846" spans="1:7" x14ac:dyDescent="0.3">
      <c r="A1846" s="19">
        <v>3344</v>
      </c>
      <c r="B1846" s="19" t="s">
        <v>2824</v>
      </c>
      <c r="C1846" s="19" t="s">
        <v>899</v>
      </c>
      <c r="D1846" s="19" t="s">
        <v>1045</v>
      </c>
      <c r="E1846" s="19" t="s">
        <v>1118</v>
      </c>
      <c r="F1846" s="19">
        <v>0</v>
      </c>
      <c r="G1846" s="43">
        <v>0.12</v>
      </c>
    </row>
    <row r="1847" spans="1:7" x14ac:dyDescent="0.3">
      <c r="A1847" s="19">
        <v>3038</v>
      </c>
      <c r="B1847" s="19" t="s">
        <v>2825</v>
      </c>
      <c r="C1847" s="19" t="s">
        <v>899</v>
      </c>
      <c r="D1847" s="19" t="s">
        <v>1045</v>
      </c>
      <c r="E1847" s="19" t="s">
        <v>1118</v>
      </c>
      <c r="F1847" s="19">
        <v>0</v>
      </c>
      <c r="G1847" s="43">
        <v>0.12</v>
      </c>
    </row>
    <row r="1848" spans="1:7" x14ac:dyDescent="0.3">
      <c r="A1848" s="19">
        <v>4055</v>
      </c>
      <c r="B1848" s="19" t="s">
        <v>2826</v>
      </c>
      <c r="C1848" s="19" t="s">
        <v>899</v>
      </c>
      <c r="D1848" s="19" t="s">
        <v>1045</v>
      </c>
      <c r="E1848" s="19" t="s">
        <v>1118</v>
      </c>
      <c r="F1848" s="19">
        <v>0</v>
      </c>
      <c r="G1848" s="43">
        <v>0.2</v>
      </c>
    </row>
    <row r="1849" spans="1:7" x14ac:dyDescent="0.3">
      <c r="A1849" s="19">
        <v>2100</v>
      </c>
      <c r="B1849" s="19" t="s">
        <v>2827</v>
      </c>
      <c r="C1849" s="19" t="s">
        <v>899</v>
      </c>
      <c r="D1849" s="19" t="s">
        <v>1045</v>
      </c>
      <c r="E1849" s="19" t="s">
        <v>1118</v>
      </c>
      <c r="F1849" s="19">
        <v>0</v>
      </c>
      <c r="G1849" s="43">
        <v>0.12</v>
      </c>
    </row>
    <row r="1850" spans="1:7" x14ac:dyDescent="0.3">
      <c r="A1850" s="19">
        <v>2658</v>
      </c>
      <c r="B1850" s="19" t="s">
        <v>2828</v>
      </c>
      <c r="C1850" s="19" t="s">
        <v>899</v>
      </c>
      <c r="D1850" s="19" t="s">
        <v>1045</v>
      </c>
      <c r="E1850" s="19" t="s">
        <v>1118</v>
      </c>
      <c r="F1850" s="19">
        <v>0</v>
      </c>
      <c r="G1850" s="43">
        <v>0.12</v>
      </c>
    </row>
    <row r="1851" spans="1:7" x14ac:dyDescent="0.3">
      <c r="A1851" s="19">
        <v>1648</v>
      </c>
      <c r="B1851" s="19" t="s">
        <v>2829</v>
      </c>
      <c r="C1851" s="19" t="s">
        <v>899</v>
      </c>
      <c r="D1851" s="19" t="s">
        <v>1045</v>
      </c>
      <c r="E1851" s="19" t="s">
        <v>1118</v>
      </c>
      <c r="F1851" s="19">
        <v>0</v>
      </c>
      <c r="G1851" s="43">
        <v>0.12</v>
      </c>
    </row>
    <row r="1852" spans="1:7" x14ac:dyDescent="0.3">
      <c r="A1852" s="19">
        <v>1871</v>
      </c>
      <c r="B1852" s="19" t="s">
        <v>2830</v>
      </c>
      <c r="C1852" s="19" t="s">
        <v>899</v>
      </c>
      <c r="D1852" s="19" t="s">
        <v>1045</v>
      </c>
      <c r="E1852" s="19" t="s">
        <v>1118</v>
      </c>
      <c r="F1852" s="19">
        <v>0</v>
      </c>
      <c r="G1852" s="43">
        <v>0.14000000000000001</v>
      </c>
    </row>
    <row r="1853" spans="1:7" x14ac:dyDescent="0.3">
      <c r="A1853" s="19">
        <v>632</v>
      </c>
      <c r="B1853" s="19" t="s">
        <v>2831</v>
      </c>
      <c r="C1853" s="19" t="s">
        <v>899</v>
      </c>
      <c r="D1853" s="19" t="s">
        <v>1045</v>
      </c>
      <c r="E1853" s="19" t="s">
        <v>1118</v>
      </c>
      <c r="F1853" s="19">
        <v>0</v>
      </c>
      <c r="G1853" s="43">
        <v>0.2</v>
      </c>
    </row>
    <row r="1854" spans="1:7" x14ac:dyDescent="0.3">
      <c r="A1854" s="19">
        <v>2644</v>
      </c>
      <c r="B1854" s="19" t="s">
        <v>2832</v>
      </c>
      <c r="C1854" s="19" t="s">
        <v>899</v>
      </c>
      <c r="D1854" s="19" t="s">
        <v>1045</v>
      </c>
      <c r="E1854" s="19" t="s">
        <v>1118</v>
      </c>
      <c r="F1854" s="19">
        <v>0</v>
      </c>
      <c r="G1854" s="43">
        <v>0.35</v>
      </c>
    </row>
    <row r="1855" spans="1:7" x14ac:dyDescent="0.3">
      <c r="A1855" s="19">
        <v>1853</v>
      </c>
      <c r="B1855" s="19" t="s">
        <v>2833</v>
      </c>
      <c r="C1855" s="19" t="s">
        <v>899</v>
      </c>
      <c r="D1855" s="19" t="s">
        <v>1045</v>
      </c>
      <c r="E1855" s="19" t="s">
        <v>1118</v>
      </c>
      <c r="F1855" s="19">
        <v>0</v>
      </c>
      <c r="G1855" s="43">
        <v>0.12</v>
      </c>
    </row>
    <row r="1856" spans="1:7" x14ac:dyDescent="0.3">
      <c r="A1856" s="19">
        <v>1683</v>
      </c>
      <c r="B1856" s="19" t="s">
        <v>2834</v>
      </c>
      <c r="C1856" s="19" t="s">
        <v>899</v>
      </c>
      <c r="D1856" s="19" t="s">
        <v>1045</v>
      </c>
      <c r="E1856" s="19" t="s">
        <v>1118</v>
      </c>
      <c r="F1856" s="19">
        <v>0</v>
      </c>
      <c r="G1856" s="43">
        <v>0.14000000000000001</v>
      </c>
    </row>
    <row r="1857" spans="1:7" x14ac:dyDescent="0.3">
      <c r="A1857" s="19">
        <v>1688</v>
      </c>
      <c r="B1857" s="19" t="s">
        <v>2835</v>
      </c>
      <c r="C1857" s="19" t="s">
        <v>899</v>
      </c>
      <c r="D1857" s="19" t="s">
        <v>1045</v>
      </c>
      <c r="E1857" s="19" t="s">
        <v>1118</v>
      </c>
      <c r="F1857" s="19">
        <v>0</v>
      </c>
      <c r="G1857" s="43">
        <v>0.12</v>
      </c>
    </row>
    <row r="1858" spans="1:7" x14ac:dyDescent="0.3">
      <c r="A1858" s="19">
        <v>1852</v>
      </c>
      <c r="B1858" s="19" t="s">
        <v>2836</v>
      </c>
      <c r="C1858" s="19" t="s">
        <v>899</v>
      </c>
      <c r="D1858" s="19" t="s">
        <v>1045</v>
      </c>
      <c r="E1858" s="19" t="s">
        <v>1118</v>
      </c>
      <c r="F1858" s="19">
        <v>0</v>
      </c>
      <c r="G1858" s="43">
        <v>0.12</v>
      </c>
    </row>
    <row r="1859" spans="1:7" x14ac:dyDescent="0.3">
      <c r="A1859" s="19">
        <v>2256</v>
      </c>
      <c r="B1859" s="19" t="s">
        <v>2837</v>
      </c>
      <c r="C1859" s="19" t="s">
        <v>899</v>
      </c>
      <c r="D1859" s="19" t="s">
        <v>1045</v>
      </c>
      <c r="E1859" s="19" t="s">
        <v>1118</v>
      </c>
      <c r="F1859" s="19">
        <v>0</v>
      </c>
      <c r="G1859" s="43">
        <v>0.12</v>
      </c>
    </row>
    <row r="1860" spans="1:7" x14ac:dyDescent="0.3">
      <c r="A1860" s="19">
        <v>1684</v>
      </c>
      <c r="B1860" s="19" t="s">
        <v>2838</v>
      </c>
      <c r="C1860" s="19" t="s">
        <v>899</v>
      </c>
      <c r="D1860" s="19" t="s">
        <v>1045</v>
      </c>
      <c r="E1860" s="19" t="s">
        <v>1118</v>
      </c>
      <c r="F1860" s="19">
        <v>0</v>
      </c>
      <c r="G1860" s="43">
        <v>0.12</v>
      </c>
    </row>
    <row r="1861" spans="1:7" x14ac:dyDescent="0.3">
      <c r="A1861" s="19">
        <v>2430</v>
      </c>
      <c r="B1861" s="19" t="s">
        <v>2839</v>
      </c>
      <c r="C1861" s="19" t="s">
        <v>899</v>
      </c>
      <c r="D1861" s="19" t="s">
        <v>1045</v>
      </c>
      <c r="E1861" s="19" t="s">
        <v>1118</v>
      </c>
      <c r="F1861" s="19">
        <v>0</v>
      </c>
      <c r="G1861" s="43">
        <v>0.12</v>
      </c>
    </row>
    <row r="1862" spans="1:7" x14ac:dyDescent="0.3">
      <c r="A1862" s="19">
        <v>1851</v>
      </c>
      <c r="B1862" s="19" t="s">
        <v>2840</v>
      </c>
      <c r="C1862" s="19" t="s">
        <v>899</v>
      </c>
      <c r="D1862" s="19" t="s">
        <v>1045</v>
      </c>
      <c r="E1862" s="19" t="s">
        <v>1118</v>
      </c>
      <c r="F1862" s="19">
        <v>0</v>
      </c>
      <c r="G1862" s="43">
        <v>0.2</v>
      </c>
    </row>
    <row r="1863" spans="1:7" x14ac:dyDescent="0.3">
      <c r="A1863" s="19">
        <v>2104</v>
      </c>
      <c r="B1863" s="19" t="s">
        <v>2841</v>
      </c>
      <c r="C1863" s="19" t="s">
        <v>899</v>
      </c>
      <c r="D1863" s="19" t="s">
        <v>1045</v>
      </c>
      <c r="E1863" s="19" t="s">
        <v>1118</v>
      </c>
      <c r="F1863" s="19">
        <v>0</v>
      </c>
      <c r="G1863" s="43">
        <v>0.12</v>
      </c>
    </row>
    <row r="1864" spans="1:7" x14ac:dyDescent="0.3">
      <c r="A1864" s="19">
        <v>877</v>
      </c>
      <c r="B1864" s="19" t="s">
        <v>2842</v>
      </c>
      <c r="C1864" s="19" t="s">
        <v>899</v>
      </c>
      <c r="D1864" s="19" t="s">
        <v>1045</v>
      </c>
      <c r="E1864" s="19" t="s">
        <v>1118</v>
      </c>
      <c r="F1864" s="19">
        <v>0</v>
      </c>
      <c r="G1864" s="43">
        <v>0.12</v>
      </c>
    </row>
    <row r="1865" spans="1:7" x14ac:dyDescent="0.3">
      <c r="A1865" s="19">
        <v>2157</v>
      </c>
      <c r="B1865" s="19" t="s">
        <v>2843</v>
      </c>
      <c r="C1865" s="19" t="s">
        <v>899</v>
      </c>
      <c r="D1865" s="19" t="s">
        <v>1045</v>
      </c>
      <c r="E1865" s="19" t="s">
        <v>1118</v>
      </c>
      <c r="F1865" s="19">
        <v>0</v>
      </c>
      <c r="G1865" s="43">
        <v>0.12</v>
      </c>
    </row>
    <row r="1866" spans="1:7" x14ac:dyDescent="0.3">
      <c r="A1866" s="19">
        <v>1194</v>
      </c>
      <c r="B1866" s="19" t="s">
        <v>2844</v>
      </c>
      <c r="C1866" s="19" t="s">
        <v>899</v>
      </c>
      <c r="D1866" s="19" t="s">
        <v>1045</v>
      </c>
      <c r="E1866" s="19" t="s">
        <v>1118</v>
      </c>
      <c r="F1866" s="19">
        <v>0</v>
      </c>
      <c r="G1866" s="43">
        <v>0.12</v>
      </c>
    </row>
    <row r="1867" spans="1:7" x14ac:dyDescent="0.3">
      <c r="A1867" s="19">
        <v>1727</v>
      </c>
      <c r="B1867" s="19" t="s">
        <v>2845</v>
      </c>
      <c r="C1867" s="19" t="s">
        <v>899</v>
      </c>
      <c r="D1867" s="19" t="s">
        <v>1045</v>
      </c>
      <c r="E1867" s="19" t="s">
        <v>1118</v>
      </c>
      <c r="F1867" s="19">
        <v>0</v>
      </c>
      <c r="G1867" s="43">
        <v>0.12</v>
      </c>
    </row>
    <row r="1868" spans="1:7" x14ac:dyDescent="0.3">
      <c r="A1868" s="19">
        <v>3071</v>
      </c>
      <c r="B1868" s="19" t="s">
        <v>2846</v>
      </c>
      <c r="C1868" s="19" t="s">
        <v>899</v>
      </c>
      <c r="D1868" s="19" t="s">
        <v>1045</v>
      </c>
      <c r="E1868" s="19" t="s">
        <v>1118</v>
      </c>
      <c r="F1868" s="19">
        <v>0</v>
      </c>
      <c r="G1868" s="43">
        <v>0.12</v>
      </c>
    </row>
    <row r="1869" spans="1:7" x14ac:dyDescent="0.3">
      <c r="A1869" s="19">
        <v>2060</v>
      </c>
      <c r="B1869" s="19" t="s">
        <v>2847</v>
      </c>
      <c r="C1869" s="19" t="s">
        <v>899</v>
      </c>
      <c r="D1869" s="19" t="s">
        <v>1045</v>
      </c>
      <c r="E1869" s="19" t="s">
        <v>1118</v>
      </c>
      <c r="F1869" s="19">
        <v>0</v>
      </c>
      <c r="G1869" s="43">
        <v>0.12</v>
      </c>
    </row>
    <row r="1870" spans="1:7" x14ac:dyDescent="0.3">
      <c r="A1870" s="19">
        <v>2431</v>
      </c>
      <c r="B1870" s="19" t="s">
        <v>2848</v>
      </c>
      <c r="C1870" s="19" t="s">
        <v>899</v>
      </c>
      <c r="D1870" s="19" t="s">
        <v>1045</v>
      </c>
      <c r="E1870" s="19" t="s">
        <v>1118</v>
      </c>
      <c r="F1870" s="19">
        <v>0</v>
      </c>
      <c r="G1870" s="43">
        <v>0.12</v>
      </c>
    </row>
    <row r="1871" spans="1:7" x14ac:dyDescent="0.3">
      <c r="A1871" s="19">
        <v>881</v>
      </c>
      <c r="B1871" s="19" t="s">
        <v>2849</v>
      </c>
      <c r="C1871" s="19" t="s">
        <v>899</v>
      </c>
      <c r="D1871" s="19" t="s">
        <v>1045</v>
      </c>
      <c r="E1871" s="19" t="s">
        <v>1118</v>
      </c>
      <c r="F1871" s="19">
        <v>0</v>
      </c>
      <c r="G1871" s="43">
        <v>0.12</v>
      </c>
    </row>
    <row r="1872" spans="1:7" x14ac:dyDescent="0.3">
      <c r="A1872" s="19">
        <v>419</v>
      </c>
      <c r="B1872" s="19" t="s">
        <v>2850</v>
      </c>
      <c r="C1872" s="19" t="s">
        <v>899</v>
      </c>
      <c r="D1872" s="19" t="s">
        <v>1045</v>
      </c>
      <c r="E1872" s="19" t="s">
        <v>1118</v>
      </c>
      <c r="F1872" s="19">
        <v>0</v>
      </c>
      <c r="G1872" s="43">
        <v>0.13</v>
      </c>
    </row>
    <row r="1873" spans="1:7" x14ac:dyDescent="0.3">
      <c r="A1873" s="19">
        <v>2728</v>
      </c>
      <c r="B1873" s="19" t="s">
        <v>2851</v>
      </c>
      <c r="C1873" s="19" t="s">
        <v>899</v>
      </c>
      <c r="D1873" s="19" t="s">
        <v>1045</v>
      </c>
      <c r="E1873" s="19" t="s">
        <v>1118</v>
      </c>
      <c r="F1873" s="19">
        <v>0</v>
      </c>
      <c r="G1873" s="43">
        <v>0.12</v>
      </c>
    </row>
    <row r="1874" spans="1:7" x14ac:dyDescent="0.3">
      <c r="A1874" s="19">
        <v>1292</v>
      </c>
      <c r="B1874" s="19" t="s">
        <v>2852</v>
      </c>
      <c r="C1874" s="19" t="s">
        <v>899</v>
      </c>
      <c r="D1874" s="19" t="s">
        <v>1045</v>
      </c>
      <c r="E1874" s="19" t="s">
        <v>1118</v>
      </c>
      <c r="F1874" s="19">
        <v>0</v>
      </c>
      <c r="G1874" s="43">
        <v>0.12</v>
      </c>
    </row>
    <row r="1875" spans="1:7" x14ac:dyDescent="0.3">
      <c r="A1875" s="19">
        <v>878</v>
      </c>
      <c r="B1875" s="19" t="s">
        <v>2853</v>
      </c>
      <c r="C1875" s="19" t="s">
        <v>899</v>
      </c>
      <c r="D1875" s="19" t="s">
        <v>1045</v>
      </c>
      <c r="E1875" s="19" t="s">
        <v>1118</v>
      </c>
      <c r="F1875" s="19">
        <v>0</v>
      </c>
      <c r="G1875" s="43">
        <v>0.12</v>
      </c>
    </row>
    <row r="1876" spans="1:7" x14ac:dyDescent="0.3">
      <c r="A1876" s="19">
        <v>3072</v>
      </c>
      <c r="B1876" s="19" t="s">
        <v>2854</v>
      </c>
      <c r="C1876" s="19" t="s">
        <v>899</v>
      </c>
      <c r="D1876" s="19" t="s">
        <v>1045</v>
      </c>
      <c r="E1876" s="19" t="s">
        <v>1118</v>
      </c>
      <c r="F1876" s="19">
        <v>0</v>
      </c>
      <c r="G1876" s="43">
        <v>0.2</v>
      </c>
    </row>
    <row r="1877" spans="1:7" x14ac:dyDescent="0.3">
      <c r="A1877" s="19">
        <v>3073</v>
      </c>
      <c r="B1877" s="19" t="s">
        <v>2855</v>
      </c>
      <c r="C1877" s="19" t="s">
        <v>899</v>
      </c>
      <c r="D1877" s="19" t="s">
        <v>1045</v>
      </c>
      <c r="E1877" s="19" t="s">
        <v>1118</v>
      </c>
      <c r="F1877" s="19">
        <v>0</v>
      </c>
      <c r="G1877" s="43">
        <v>0.22</v>
      </c>
    </row>
    <row r="1878" spans="1:7" x14ac:dyDescent="0.3">
      <c r="A1878" s="19">
        <v>886</v>
      </c>
      <c r="B1878" s="19" t="s">
        <v>2856</v>
      </c>
      <c r="C1878" s="19" t="s">
        <v>899</v>
      </c>
      <c r="D1878" s="19" t="s">
        <v>1045</v>
      </c>
      <c r="E1878" s="19" t="s">
        <v>1118</v>
      </c>
      <c r="F1878" s="19">
        <v>0</v>
      </c>
      <c r="G1878" s="43">
        <v>0.14000000000000001</v>
      </c>
    </row>
    <row r="1879" spans="1:7" x14ac:dyDescent="0.3">
      <c r="A1879" s="19">
        <v>3598</v>
      </c>
      <c r="B1879" s="19" t="s">
        <v>2857</v>
      </c>
      <c r="C1879" s="19" t="s">
        <v>899</v>
      </c>
      <c r="D1879" s="19" t="s">
        <v>1045</v>
      </c>
      <c r="E1879" s="19" t="s">
        <v>1118</v>
      </c>
      <c r="F1879" s="19">
        <v>0</v>
      </c>
      <c r="G1879" s="43">
        <v>0.2</v>
      </c>
    </row>
    <row r="1880" spans="1:7" x14ac:dyDescent="0.3">
      <c r="A1880" s="19">
        <v>619</v>
      </c>
      <c r="B1880" s="19" t="s">
        <v>2858</v>
      </c>
      <c r="C1880" s="19" t="s">
        <v>899</v>
      </c>
      <c r="D1880" s="19" t="s">
        <v>1045</v>
      </c>
      <c r="E1880" s="19" t="s">
        <v>1118</v>
      </c>
      <c r="F1880" s="19">
        <v>0</v>
      </c>
      <c r="G1880" s="43">
        <v>0.12</v>
      </c>
    </row>
    <row r="1881" spans="1:7" x14ac:dyDescent="0.3">
      <c r="A1881" s="19">
        <v>3458</v>
      </c>
      <c r="B1881" s="19" t="s">
        <v>2859</v>
      </c>
      <c r="C1881" s="19" t="s">
        <v>899</v>
      </c>
      <c r="D1881" s="19" t="s">
        <v>1045</v>
      </c>
      <c r="E1881" s="19" t="s">
        <v>1118</v>
      </c>
      <c r="F1881" s="19">
        <v>0</v>
      </c>
      <c r="G1881" s="43">
        <v>0.2</v>
      </c>
    </row>
    <row r="1882" spans="1:7" x14ac:dyDescent="0.3">
      <c r="A1882" s="19">
        <v>887</v>
      </c>
      <c r="B1882" s="19" t="s">
        <v>2860</v>
      </c>
      <c r="C1882" s="19" t="s">
        <v>899</v>
      </c>
      <c r="D1882" s="19" t="s">
        <v>1045</v>
      </c>
      <c r="E1882" s="19" t="s">
        <v>1118</v>
      </c>
      <c r="F1882" s="19">
        <v>0</v>
      </c>
      <c r="G1882" s="43">
        <v>0.14000000000000001</v>
      </c>
    </row>
    <row r="1883" spans="1:7" x14ac:dyDescent="0.3">
      <c r="A1883" s="19">
        <v>888</v>
      </c>
      <c r="B1883" s="19" t="s">
        <v>2861</v>
      </c>
      <c r="C1883" s="19" t="s">
        <v>899</v>
      </c>
      <c r="D1883" s="19" t="s">
        <v>1045</v>
      </c>
      <c r="E1883" s="19" t="s">
        <v>1118</v>
      </c>
      <c r="F1883" s="19">
        <v>0</v>
      </c>
      <c r="G1883" s="43">
        <v>0.12</v>
      </c>
    </row>
    <row r="1884" spans="1:7" x14ac:dyDescent="0.3">
      <c r="A1884" s="19">
        <v>3340</v>
      </c>
      <c r="B1884" s="19" t="s">
        <v>2862</v>
      </c>
      <c r="C1884" s="19" t="s">
        <v>899</v>
      </c>
      <c r="D1884" s="19" t="s">
        <v>1045</v>
      </c>
      <c r="E1884" s="19" t="s">
        <v>1118</v>
      </c>
      <c r="F1884" s="19">
        <v>0</v>
      </c>
      <c r="G1884" s="43">
        <v>0.2</v>
      </c>
    </row>
    <row r="1885" spans="1:7" x14ac:dyDescent="0.3">
      <c r="A1885" s="19">
        <v>2071</v>
      </c>
      <c r="B1885" s="19" t="s">
        <v>2863</v>
      </c>
      <c r="C1885" s="19" t="s">
        <v>899</v>
      </c>
      <c r="D1885" s="19" t="s">
        <v>1045</v>
      </c>
      <c r="E1885" s="19" t="s">
        <v>1118</v>
      </c>
      <c r="F1885" s="19">
        <v>0</v>
      </c>
      <c r="G1885" s="43">
        <v>0.12</v>
      </c>
    </row>
    <row r="1886" spans="1:7" x14ac:dyDescent="0.3">
      <c r="A1886" s="19">
        <v>420</v>
      </c>
      <c r="B1886" s="19" t="s">
        <v>2864</v>
      </c>
      <c r="C1886" s="19" t="s">
        <v>899</v>
      </c>
      <c r="D1886" s="19" t="s">
        <v>1045</v>
      </c>
      <c r="E1886" s="19" t="s">
        <v>1118</v>
      </c>
      <c r="F1886" s="19">
        <v>0</v>
      </c>
      <c r="G1886" s="43">
        <v>0.12</v>
      </c>
    </row>
    <row r="1887" spans="1:7" x14ac:dyDescent="0.3">
      <c r="A1887" s="19">
        <v>1726</v>
      </c>
      <c r="B1887" s="19" t="s">
        <v>2865</v>
      </c>
      <c r="C1887" s="19" t="s">
        <v>899</v>
      </c>
      <c r="D1887" s="19" t="s">
        <v>1045</v>
      </c>
      <c r="E1887" s="19" t="s">
        <v>1118</v>
      </c>
      <c r="F1887" s="19">
        <v>0</v>
      </c>
      <c r="G1887" s="43">
        <v>0.12</v>
      </c>
    </row>
    <row r="1888" spans="1:7" x14ac:dyDescent="0.3">
      <c r="A1888" s="19">
        <v>981</v>
      </c>
      <c r="B1888" s="19" t="s">
        <v>2866</v>
      </c>
      <c r="C1888" s="19" t="s">
        <v>899</v>
      </c>
      <c r="D1888" s="19" t="s">
        <v>1045</v>
      </c>
      <c r="E1888" s="19" t="s">
        <v>1118</v>
      </c>
      <c r="F1888" s="19">
        <v>0</v>
      </c>
      <c r="G1888" s="43">
        <v>0.14000000000000001</v>
      </c>
    </row>
    <row r="1889" spans="1:7" x14ac:dyDescent="0.3">
      <c r="A1889" s="19">
        <v>890</v>
      </c>
      <c r="B1889" s="19" t="s">
        <v>2867</v>
      </c>
      <c r="C1889" s="19" t="s">
        <v>899</v>
      </c>
      <c r="D1889" s="19" t="s">
        <v>1045</v>
      </c>
      <c r="E1889" s="19" t="s">
        <v>1118</v>
      </c>
      <c r="F1889" s="19">
        <v>0</v>
      </c>
      <c r="G1889" s="43">
        <v>0.2</v>
      </c>
    </row>
    <row r="1890" spans="1:7" x14ac:dyDescent="0.3">
      <c r="A1890" s="19">
        <v>598</v>
      </c>
      <c r="B1890" s="19" t="s">
        <v>2868</v>
      </c>
      <c r="C1890" s="19" t="s">
        <v>899</v>
      </c>
      <c r="D1890" s="19" t="s">
        <v>1045</v>
      </c>
      <c r="E1890" s="19" t="s">
        <v>1118</v>
      </c>
      <c r="F1890" s="19">
        <v>0</v>
      </c>
      <c r="G1890" s="43">
        <v>0.12</v>
      </c>
    </row>
    <row r="1891" spans="1:7" x14ac:dyDescent="0.3">
      <c r="A1891" s="19">
        <v>976</v>
      </c>
      <c r="B1891" s="19" t="s">
        <v>2869</v>
      </c>
      <c r="C1891" s="19" t="s">
        <v>899</v>
      </c>
      <c r="D1891" s="19" t="s">
        <v>1045</v>
      </c>
      <c r="E1891" s="19" t="s">
        <v>1118</v>
      </c>
      <c r="F1891" s="19">
        <v>0</v>
      </c>
      <c r="G1891" s="43">
        <v>0.12</v>
      </c>
    </row>
    <row r="1892" spans="1:7" x14ac:dyDescent="0.3">
      <c r="A1892" s="19">
        <v>891</v>
      </c>
      <c r="B1892" s="19" t="s">
        <v>2870</v>
      </c>
      <c r="C1892" s="19" t="s">
        <v>899</v>
      </c>
      <c r="D1892" s="19" t="s">
        <v>1045</v>
      </c>
      <c r="E1892" s="19" t="s">
        <v>1118</v>
      </c>
      <c r="F1892" s="19">
        <v>0</v>
      </c>
      <c r="G1892" s="43">
        <v>0.12</v>
      </c>
    </row>
    <row r="1893" spans="1:7" x14ac:dyDescent="0.3">
      <c r="A1893" s="19">
        <v>892</v>
      </c>
      <c r="B1893" s="19" t="s">
        <v>2871</v>
      </c>
      <c r="C1893" s="19" t="s">
        <v>899</v>
      </c>
      <c r="D1893" s="19" t="s">
        <v>1045</v>
      </c>
      <c r="E1893" s="19" t="s">
        <v>1118</v>
      </c>
      <c r="F1893" s="19">
        <v>0</v>
      </c>
      <c r="G1893" s="43">
        <v>0.12</v>
      </c>
    </row>
    <row r="1894" spans="1:7" x14ac:dyDescent="0.3">
      <c r="A1894" s="19">
        <v>638</v>
      </c>
      <c r="B1894" s="19" t="s">
        <v>2872</v>
      </c>
      <c r="C1894" s="19" t="s">
        <v>899</v>
      </c>
      <c r="D1894" s="19" t="s">
        <v>1045</v>
      </c>
      <c r="E1894" s="19" t="s">
        <v>1118</v>
      </c>
      <c r="F1894" s="19">
        <v>0</v>
      </c>
      <c r="G1894" s="43">
        <v>0.13</v>
      </c>
    </row>
    <row r="1895" spans="1:7" x14ac:dyDescent="0.3">
      <c r="A1895" s="19">
        <v>2379</v>
      </c>
      <c r="B1895" s="19" t="s">
        <v>2873</v>
      </c>
      <c r="C1895" s="19" t="s">
        <v>899</v>
      </c>
      <c r="D1895" s="19" t="s">
        <v>1045</v>
      </c>
      <c r="E1895" s="19" t="s">
        <v>1118</v>
      </c>
      <c r="F1895" s="19">
        <v>0</v>
      </c>
      <c r="G1895" s="43">
        <v>0.12</v>
      </c>
    </row>
    <row r="1896" spans="1:7" x14ac:dyDescent="0.3">
      <c r="A1896" s="19">
        <v>1169</v>
      </c>
      <c r="B1896" s="19" t="s">
        <v>2874</v>
      </c>
      <c r="C1896" s="19" t="s">
        <v>899</v>
      </c>
      <c r="D1896" s="19" t="s">
        <v>1045</v>
      </c>
      <c r="E1896" s="19" t="s">
        <v>1118</v>
      </c>
      <c r="F1896" s="19">
        <v>0</v>
      </c>
      <c r="G1896" s="43">
        <v>0.12</v>
      </c>
    </row>
    <row r="1897" spans="1:7" x14ac:dyDescent="0.3">
      <c r="A1897" s="19">
        <v>2023</v>
      </c>
      <c r="B1897" s="19" t="s">
        <v>2875</v>
      </c>
      <c r="C1897" s="19" t="s">
        <v>899</v>
      </c>
      <c r="D1897" s="19" t="s">
        <v>1045</v>
      </c>
      <c r="E1897" s="19" t="s">
        <v>1118</v>
      </c>
      <c r="F1897" s="19">
        <v>0</v>
      </c>
      <c r="G1897" s="43">
        <v>0.2</v>
      </c>
    </row>
    <row r="1898" spans="1:7" x14ac:dyDescent="0.3">
      <c r="A1898" s="19">
        <v>2999</v>
      </c>
      <c r="B1898" s="19" t="s">
        <v>2876</v>
      </c>
      <c r="C1898" s="19" t="s">
        <v>899</v>
      </c>
      <c r="D1898" s="19" t="s">
        <v>1045</v>
      </c>
      <c r="E1898" s="19" t="s">
        <v>1118</v>
      </c>
      <c r="F1898" s="19">
        <v>0</v>
      </c>
      <c r="G1898" s="43">
        <v>0.2</v>
      </c>
    </row>
    <row r="1899" spans="1:7" x14ac:dyDescent="0.3">
      <c r="A1899" s="19">
        <v>3000</v>
      </c>
      <c r="B1899" s="19" t="s">
        <v>2877</v>
      </c>
      <c r="C1899" s="19" t="s">
        <v>899</v>
      </c>
      <c r="D1899" s="19" t="s">
        <v>1045</v>
      </c>
      <c r="E1899" s="19" t="s">
        <v>1118</v>
      </c>
      <c r="F1899" s="19">
        <v>0</v>
      </c>
      <c r="G1899" s="43">
        <v>0.12</v>
      </c>
    </row>
    <row r="1900" spans="1:7" x14ac:dyDescent="0.3">
      <c r="A1900" s="19">
        <v>1191</v>
      </c>
      <c r="B1900" s="19" t="s">
        <v>2878</v>
      </c>
      <c r="C1900" s="19" t="s">
        <v>899</v>
      </c>
      <c r="D1900" s="19" t="s">
        <v>1045</v>
      </c>
      <c r="E1900" s="19" t="s">
        <v>1118</v>
      </c>
      <c r="F1900" s="19">
        <v>0</v>
      </c>
      <c r="G1900" s="43">
        <v>0.12</v>
      </c>
    </row>
    <row r="1901" spans="1:7" x14ac:dyDescent="0.3">
      <c r="A1901" s="19">
        <v>2260</v>
      </c>
      <c r="B1901" s="19" t="s">
        <v>2879</v>
      </c>
      <c r="C1901" s="19" t="s">
        <v>899</v>
      </c>
      <c r="D1901" s="19" t="s">
        <v>1045</v>
      </c>
      <c r="E1901" s="19" t="s">
        <v>1118</v>
      </c>
      <c r="F1901" s="19">
        <v>0</v>
      </c>
      <c r="G1901" s="43">
        <v>0.12</v>
      </c>
    </row>
    <row r="1902" spans="1:7" x14ac:dyDescent="0.3">
      <c r="A1902" s="19">
        <v>2257</v>
      </c>
      <c r="B1902" s="19" t="s">
        <v>2880</v>
      </c>
      <c r="C1902" s="19" t="s">
        <v>899</v>
      </c>
      <c r="D1902" s="19" t="s">
        <v>1045</v>
      </c>
      <c r="E1902" s="19" t="s">
        <v>1118</v>
      </c>
      <c r="F1902" s="19">
        <v>0</v>
      </c>
      <c r="G1902" s="43">
        <v>0.12</v>
      </c>
    </row>
    <row r="1903" spans="1:7" x14ac:dyDescent="0.3">
      <c r="A1903" s="19">
        <v>893</v>
      </c>
      <c r="B1903" s="19" t="s">
        <v>2881</v>
      </c>
      <c r="C1903" s="19" t="s">
        <v>899</v>
      </c>
      <c r="D1903" s="19" t="s">
        <v>1045</v>
      </c>
      <c r="E1903" s="19" t="s">
        <v>1118</v>
      </c>
      <c r="F1903" s="19">
        <v>0</v>
      </c>
      <c r="G1903" s="43">
        <v>0.2</v>
      </c>
    </row>
    <row r="1904" spans="1:7" x14ac:dyDescent="0.3">
      <c r="A1904" s="19">
        <v>818</v>
      </c>
      <c r="B1904" s="19" t="s">
        <v>2882</v>
      </c>
      <c r="C1904" s="19" t="s">
        <v>899</v>
      </c>
      <c r="D1904" s="19" t="s">
        <v>1045</v>
      </c>
      <c r="E1904" s="19" t="s">
        <v>1118</v>
      </c>
      <c r="F1904" s="19">
        <v>0</v>
      </c>
      <c r="G1904" s="43">
        <v>0.13</v>
      </c>
    </row>
    <row r="1905" spans="1:7" x14ac:dyDescent="0.3">
      <c r="A1905" s="19">
        <v>2904</v>
      </c>
      <c r="B1905" s="19" t="s">
        <v>2883</v>
      </c>
      <c r="C1905" s="19" t="s">
        <v>899</v>
      </c>
      <c r="D1905" s="19" t="s">
        <v>1045</v>
      </c>
      <c r="E1905" s="19" t="s">
        <v>1118</v>
      </c>
      <c r="F1905" s="19">
        <v>0</v>
      </c>
      <c r="G1905" s="43">
        <v>0.12</v>
      </c>
    </row>
    <row r="1906" spans="1:7" x14ac:dyDescent="0.3">
      <c r="A1906" s="19">
        <v>894</v>
      </c>
      <c r="B1906" s="19" t="s">
        <v>2884</v>
      </c>
      <c r="C1906" s="19" t="s">
        <v>899</v>
      </c>
      <c r="D1906" s="19" t="s">
        <v>1045</v>
      </c>
      <c r="E1906" s="19" t="s">
        <v>1118</v>
      </c>
      <c r="F1906" s="19">
        <v>0</v>
      </c>
      <c r="G1906" s="43">
        <v>0.14000000000000001</v>
      </c>
    </row>
    <row r="1907" spans="1:7" x14ac:dyDescent="0.3">
      <c r="A1907" s="19">
        <v>421</v>
      </c>
      <c r="B1907" s="19" t="s">
        <v>2885</v>
      </c>
      <c r="C1907" s="19" t="s">
        <v>899</v>
      </c>
      <c r="D1907" s="19" t="s">
        <v>1045</v>
      </c>
      <c r="E1907" s="19" t="s">
        <v>1118</v>
      </c>
      <c r="F1907" s="19">
        <v>0</v>
      </c>
      <c r="G1907" s="43">
        <v>0.12</v>
      </c>
    </row>
    <row r="1908" spans="1:7" x14ac:dyDescent="0.3">
      <c r="A1908" s="19">
        <v>895</v>
      </c>
      <c r="B1908" s="19" t="s">
        <v>2886</v>
      </c>
      <c r="C1908" s="19" t="s">
        <v>899</v>
      </c>
      <c r="D1908" s="19" t="s">
        <v>1045</v>
      </c>
      <c r="E1908" s="19" t="s">
        <v>1118</v>
      </c>
      <c r="F1908" s="19">
        <v>0</v>
      </c>
      <c r="G1908" s="43">
        <v>0.14000000000000001</v>
      </c>
    </row>
    <row r="1909" spans="1:7" x14ac:dyDescent="0.3">
      <c r="A1909" s="19">
        <v>655</v>
      </c>
      <c r="B1909" s="19" t="s">
        <v>2887</v>
      </c>
      <c r="C1909" s="19" t="s">
        <v>899</v>
      </c>
      <c r="D1909" s="19" t="s">
        <v>1045</v>
      </c>
      <c r="E1909" s="19" t="s">
        <v>1118</v>
      </c>
      <c r="F1909" s="19">
        <v>0</v>
      </c>
      <c r="G1909" s="43">
        <v>0.12</v>
      </c>
    </row>
    <row r="1910" spans="1:7" x14ac:dyDescent="0.3">
      <c r="A1910" s="19">
        <v>2705</v>
      </c>
      <c r="B1910" s="19" t="s">
        <v>2888</v>
      </c>
      <c r="C1910" s="19" t="s">
        <v>899</v>
      </c>
      <c r="D1910" s="19" t="s">
        <v>1045</v>
      </c>
      <c r="E1910" s="19" t="s">
        <v>1118</v>
      </c>
      <c r="F1910" s="19">
        <v>0</v>
      </c>
      <c r="G1910" s="43">
        <v>0.12</v>
      </c>
    </row>
    <row r="1911" spans="1:7" x14ac:dyDescent="0.3">
      <c r="A1911" s="19">
        <v>1310</v>
      </c>
      <c r="B1911" s="19" t="s">
        <v>2889</v>
      </c>
      <c r="C1911" s="19" t="s">
        <v>899</v>
      </c>
      <c r="D1911" s="19" t="s">
        <v>1045</v>
      </c>
      <c r="E1911" s="19" t="s">
        <v>1118</v>
      </c>
      <c r="F1911" s="19">
        <v>0</v>
      </c>
      <c r="G1911" s="43">
        <v>0.14000000000000001</v>
      </c>
    </row>
    <row r="1912" spans="1:7" x14ac:dyDescent="0.3">
      <c r="A1912" s="19">
        <v>896</v>
      </c>
      <c r="B1912" s="19" t="s">
        <v>2890</v>
      </c>
      <c r="C1912" s="19" t="s">
        <v>899</v>
      </c>
      <c r="D1912" s="19" t="s">
        <v>1045</v>
      </c>
      <c r="E1912" s="19" t="s">
        <v>1118</v>
      </c>
      <c r="F1912" s="19">
        <v>0</v>
      </c>
      <c r="G1912" s="43">
        <v>0.12</v>
      </c>
    </row>
    <row r="1913" spans="1:7" x14ac:dyDescent="0.3">
      <c r="A1913" s="19">
        <v>1725</v>
      </c>
      <c r="B1913" s="19" t="s">
        <v>2891</v>
      </c>
      <c r="C1913" s="19" t="s">
        <v>899</v>
      </c>
      <c r="D1913" s="19" t="s">
        <v>1045</v>
      </c>
      <c r="E1913" s="19" t="s">
        <v>1118</v>
      </c>
      <c r="F1913" s="19">
        <v>0</v>
      </c>
      <c r="G1913" s="43">
        <v>0.12</v>
      </c>
    </row>
    <row r="1914" spans="1:7" x14ac:dyDescent="0.3">
      <c r="A1914" s="19">
        <v>1724</v>
      </c>
      <c r="B1914" s="19" t="s">
        <v>2892</v>
      </c>
      <c r="C1914" s="19" t="s">
        <v>899</v>
      </c>
      <c r="D1914" s="19" t="s">
        <v>1045</v>
      </c>
      <c r="E1914" s="19" t="s">
        <v>1118</v>
      </c>
      <c r="F1914" s="19">
        <v>0</v>
      </c>
      <c r="G1914" s="43">
        <v>0.12</v>
      </c>
    </row>
    <row r="1915" spans="1:7" x14ac:dyDescent="0.3">
      <c r="A1915" s="19">
        <v>3379</v>
      </c>
      <c r="B1915" s="19" t="s">
        <v>2893</v>
      </c>
      <c r="C1915" s="19" t="s">
        <v>899</v>
      </c>
      <c r="D1915" s="19" t="s">
        <v>1045</v>
      </c>
      <c r="E1915" s="19" t="s">
        <v>1118</v>
      </c>
      <c r="F1915" s="19">
        <v>0</v>
      </c>
      <c r="G1915" s="43">
        <v>0.2</v>
      </c>
    </row>
    <row r="1916" spans="1:7" x14ac:dyDescent="0.3">
      <c r="A1916" s="19">
        <v>982</v>
      </c>
      <c r="B1916" s="19" t="s">
        <v>2894</v>
      </c>
      <c r="C1916" s="19" t="s">
        <v>899</v>
      </c>
      <c r="D1916" s="19" t="s">
        <v>1045</v>
      </c>
      <c r="E1916" s="19" t="s">
        <v>1118</v>
      </c>
      <c r="F1916" s="19">
        <v>0</v>
      </c>
      <c r="G1916" s="43">
        <v>0.2</v>
      </c>
    </row>
    <row r="1917" spans="1:7" x14ac:dyDescent="0.3">
      <c r="A1917" s="19">
        <v>2645</v>
      </c>
      <c r="B1917" s="19" t="s">
        <v>2895</v>
      </c>
      <c r="C1917" s="19" t="s">
        <v>899</v>
      </c>
      <c r="D1917" s="19" t="s">
        <v>1045</v>
      </c>
      <c r="E1917" s="19" t="s">
        <v>1118</v>
      </c>
      <c r="F1917" s="19">
        <v>0</v>
      </c>
      <c r="G1917" s="43">
        <v>0.35</v>
      </c>
    </row>
    <row r="1918" spans="1:7" x14ac:dyDescent="0.3">
      <c r="A1918" s="19">
        <v>3400</v>
      </c>
      <c r="B1918" s="19" t="s">
        <v>2896</v>
      </c>
      <c r="C1918" s="19" t="s">
        <v>899</v>
      </c>
      <c r="D1918" s="19" t="s">
        <v>1045</v>
      </c>
      <c r="E1918" s="19" t="s">
        <v>1118</v>
      </c>
      <c r="F1918" s="19">
        <v>0</v>
      </c>
      <c r="G1918" s="43">
        <v>0.2</v>
      </c>
    </row>
    <row r="1919" spans="1:7" x14ac:dyDescent="0.3">
      <c r="A1919" s="19">
        <v>1685</v>
      </c>
      <c r="B1919" s="19" t="s">
        <v>2897</v>
      </c>
      <c r="C1919" s="19" t="s">
        <v>899</v>
      </c>
      <c r="D1919" s="19" t="s">
        <v>1045</v>
      </c>
      <c r="E1919" s="19" t="s">
        <v>1118</v>
      </c>
      <c r="F1919" s="19">
        <v>0</v>
      </c>
      <c r="G1919" s="43">
        <v>0.12</v>
      </c>
    </row>
    <row r="1920" spans="1:7" x14ac:dyDescent="0.3">
      <c r="A1920" s="19">
        <v>1686</v>
      </c>
      <c r="B1920" s="19" t="s">
        <v>2898</v>
      </c>
      <c r="C1920" s="19" t="s">
        <v>899</v>
      </c>
      <c r="D1920" s="19" t="s">
        <v>1045</v>
      </c>
      <c r="E1920" s="19" t="s">
        <v>1118</v>
      </c>
      <c r="F1920" s="19">
        <v>0</v>
      </c>
      <c r="G1920" s="43">
        <v>0.12</v>
      </c>
    </row>
    <row r="1921" spans="1:7" x14ac:dyDescent="0.3">
      <c r="A1921" s="19">
        <v>2204</v>
      </c>
      <c r="B1921" s="19" t="s">
        <v>2899</v>
      </c>
      <c r="C1921" s="19" t="s">
        <v>899</v>
      </c>
      <c r="D1921" s="19" t="s">
        <v>1045</v>
      </c>
      <c r="E1921" s="19" t="s">
        <v>1118</v>
      </c>
      <c r="F1921" s="19">
        <v>0</v>
      </c>
      <c r="G1921" s="43">
        <v>0.22</v>
      </c>
    </row>
    <row r="1922" spans="1:7" x14ac:dyDescent="0.3">
      <c r="A1922" s="19">
        <v>898</v>
      </c>
      <c r="B1922" s="19" t="s">
        <v>2900</v>
      </c>
      <c r="C1922" s="19" t="s">
        <v>899</v>
      </c>
      <c r="D1922" s="19" t="s">
        <v>1045</v>
      </c>
      <c r="E1922" s="19" t="s">
        <v>1118</v>
      </c>
      <c r="F1922" s="19">
        <v>0</v>
      </c>
      <c r="G1922" s="43">
        <v>0.12</v>
      </c>
    </row>
    <row r="1923" spans="1:7" x14ac:dyDescent="0.3">
      <c r="A1923" s="19">
        <v>3070</v>
      </c>
      <c r="B1923" s="19" t="s">
        <v>2901</v>
      </c>
      <c r="C1923" s="19" t="s">
        <v>899</v>
      </c>
      <c r="D1923" s="19" t="s">
        <v>1045</v>
      </c>
      <c r="E1923" s="19" t="s">
        <v>1118</v>
      </c>
      <c r="F1923" s="19">
        <v>0</v>
      </c>
      <c r="G1923" s="43">
        <v>0.12</v>
      </c>
    </row>
    <row r="1924" spans="1:7" x14ac:dyDescent="0.3">
      <c r="A1924" s="19">
        <v>2262</v>
      </c>
      <c r="B1924" s="19" t="s">
        <v>2902</v>
      </c>
      <c r="C1924" s="19" t="s">
        <v>899</v>
      </c>
      <c r="D1924" s="19" t="s">
        <v>1045</v>
      </c>
      <c r="E1924" s="19" t="s">
        <v>1118</v>
      </c>
      <c r="F1924" s="19">
        <v>0</v>
      </c>
      <c r="G1924" s="43">
        <v>0.12</v>
      </c>
    </row>
    <row r="1925" spans="1:7" x14ac:dyDescent="0.3">
      <c r="A1925" s="19">
        <v>2026</v>
      </c>
      <c r="B1925" s="19" t="s">
        <v>2903</v>
      </c>
      <c r="C1925" s="19" t="s">
        <v>899</v>
      </c>
      <c r="D1925" s="19" t="s">
        <v>1045</v>
      </c>
      <c r="E1925" s="19" t="s">
        <v>1118</v>
      </c>
      <c r="F1925" s="19">
        <v>0</v>
      </c>
      <c r="G1925" s="43">
        <v>0.12</v>
      </c>
    </row>
    <row r="1926" spans="1:7" x14ac:dyDescent="0.3">
      <c r="A1926" s="19">
        <v>1687</v>
      </c>
      <c r="B1926" s="19" t="s">
        <v>2904</v>
      </c>
      <c r="C1926" s="19" t="s">
        <v>899</v>
      </c>
      <c r="D1926" s="19" t="s">
        <v>1045</v>
      </c>
      <c r="E1926" s="19" t="s">
        <v>1118</v>
      </c>
      <c r="F1926" s="19">
        <v>0</v>
      </c>
      <c r="G1926" s="43">
        <v>0.12</v>
      </c>
    </row>
    <row r="1927" spans="1:7" x14ac:dyDescent="0.3">
      <c r="A1927" s="19">
        <v>2912</v>
      </c>
      <c r="B1927" s="19" t="s">
        <v>2905</v>
      </c>
      <c r="C1927" s="19" t="s">
        <v>899</v>
      </c>
      <c r="D1927" s="19" t="s">
        <v>1045</v>
      </c>
      <c r="E1927" s="19" t="s">
        <v>1118</v>
      </c>
      <c r="F1927" s="19">
        <v>0</v>
      </c>
      <c r="G1927" s="43">
        <v>0.12</v>
      </c>
    </row>
    <row r="1928" spans="1:7" x14ac:dyDescent="0.3">
      <c r="A1928" s="19">
        <v>2265</v>
      </c>
      <c r="B1928" s="19" t="s">
        <v>2906</v>
      </c>
      <c r="C1928" s="19" t="s">
        <v>899</v>
      </c>
      <c r="D1928" s="19" t="s">
        <v>1045</v>
      </c>
      <c r="E1928" s="19" t="s">
        <v>1118</v>
      </c>
      <c r="F1928" s="19">
        <v>0</v>
      </c>
      <c r="G1928" s="43">
        <v>0.12</v>
      </c>
    </row>
    <row r="1929" spans="1:7" x14ac:dyDescent="0.3">
      <c r="A1929" s="19">
        <v>2149</v>
      </c>
      <c r="B1929" s="19" t="s">
        <v>2907</v>
      </c>
      <c r="C1929" s="19" t="s">
        <v>899</v>
      </c>
      <c r="D1929" s="19" t="s">
        <v>1045</v>
      </c>
      <c r="E1929" s="19" t="s">
        <v>1118</v>
      </c>
      <c r="F1929" s="19">
        <v>0</v>
      </c>
      <c r="G1929" s="43">
        <v>0.12</v>
      </c>
    </row>
    <row r="1930" spans="1:7" x14ac:dyDescent="0.3">
      <c r="A1930" s="19">
        <v>1302</v>
      </c>
      <c r="B1930" s="19" t="s">
        <v>2908</v>
      </c>
      <c r="C1930" s="19" t="s">
        <v>899</v>
      </c>
      <c r="D1930" s="19" t="s">
        <v>1045</v>
      </c>
      <c r="E1930" s="19" t="s">
        <v>1118</v>
      </c>
      <c r="F1930" s="19">
        <v>0</v>
      </c>
      <c r="G1930" s="43">
        <v>0.2</v>
      </c>
    </row>
    <row r="1931" spans="1:7" x14ac:dyDescent="0.3">
      <c r="A1931" s="19">
        <v>2195</v>
      </c>
      <c r="B1931" s="19" t="s">
        <v>2909</v>
      </c>
      <c r="C1931" s="19" t="s">
        <v>899</v>
      </c>
      <c r="D1931" s="19" t="s">
        <v>1045</v>
      </c>
      <c r="E1931" s="19" t="s">
        <v>1118</v>
      </c>
      <c r="F1931" s="19">
        <v>0</v>
      </c>
      <c r="G1931" s="43">
        <v>0.22</v>
      </c>
    </row>
    <row r="1932" spans="1:7" x14ac:dyDescent="0.3">
      <c r="A1932" s="19">
        <v>1530</v>
      </c>
      <c r="B1932" s="19" t="s">
        <v>2910</v>
      </c>
      <c r="C1932" s="19" t="s">
        <v>899</v>
      </c>
      <c r="D1932" s="19" t="s">
        <v>1045</v>
      </c>
      <c r="E1932" s="19" t="s">
        <v>1118</v>
      </c>
      <c r="F1932" s="19">
        <v>0</v>
      </c>
      <c r="G1932" s="43">
        <v>0.12</v>
      </c>
    </row>
    <row r="1933" spans="1:7" x14ac:dyDescent="0.3">
      <c r="A1933" s="19">
        <v>2657</v>
      </c>
      <c r="B1933" s="19" t="s">
        <v>2911</v>
      </c>
      <c r="C1933" s="19" t="s">
        <v>899</v>
      </c>
      <c r="D1933" s="19" t="s">
        <v>1045</v>
      </c>
      <c r="E1933" s="19" t="s">
        <v>1118</v>
      </c>
      <c r="F1933" s="19">
        <v>0</v>
      </c>
      <c r="G1933" s="43">
        <v>0.35</v>
      </c>
    </row>
    <row r="1934" spans="1:7" x14ac:dyDescent="0.3">
      <c r="A1934" s="19">
        <v>899</v>
      </c>
      <c r="B1934" s="19" t="s">
        <v>2912</v>
      </c>
      <c r="C1934" s="19" t="s">
        <v>899</v>
      </c>
      <c r="D1934" s="19" t="s">
        <v>1045</v>
      </c>
      <c r="E1934" s="19" t="s">
        <v>1118</v>
      </c>
      <c r="F1934" s="19">
        <v>0</v>
      </c>
      <c r="G1934" s="43">
        <v>0.14000000000000001</v>
      </c>
    </row>
    <row r="1935" spans="1:7" x14ac:dyDescent="0.3">
      <c r="A1935" s="19">
        <v>2027</v>
      </c>
      <c r="B1935" s="19" t="s">
        <v>2913</v>
      </c>
      <c r="C1935" s="19" t="s">
        <v>899</v>
      </c>
      <c r="D1935" s="19" t="s">
        <v>1045</v>
      </c>
      <c r="E1935" s="19" t="s">
        <v>1118</v>
      </c>
      <c r="F1935" s="19">
        <v>0</v>
      </c>
      <c r="G1935" s="43">
        <v>0.14000000000000001</v>
      </c>
    </row>
    <row r="1936" spans="1:7" x14ac:dyDescent="0.3">
      <c r="A1936" s="19">
        <v>2646</v>
      </c>
      <c r="B1936" s="19" t="s">
        <v>2914</v>
      </c>
      <c r="C1936" s="19" t="s">
        <v>899</v>
      </c>
      <c r="D1936" s="19" t="s">
        <v>1045</v>
      </c>
      <c r="E1936" s="19" t="s">
        <v>1118</v>
      </c>
      <c r="F1936" s="19">
        <v>0</v>
      </c>
      <c r="G1936" s="43">
        <v>0.35</v>
      </c>
    </row>
    <row r="1937" spans="1:7" x14ac:dyDescent="0.3">
      <c r="A1937" s="19">
        <v>2094</v>
      </c>
      <c r="B1937" s="19" t="s">
        <v>2915</v>
      </c>
      <c r="C1937" s="19" t="s">
        <v>899</v>
      </c>
      <c r="D1937" s="19" t="s">
        <v>1045</v>
      </c>
      <c r="E1937" s="19" t="s">
        <v>1118</v>
      </c>
      <c r="F1937" s="19">
        <v>0</v>
      </c>
      <c r="G1937" s="43">
        <v>0.14000000000000001</v>
      </c>
    </row>
    <row r="1938" spans="1:7" x14ac:dyDescent="0.3">
      <c r="A1938" s="19">
        <v>1723</v>
      </c>
      <c r="B1938" s="19" t="s">
        <v>2916</v>
      </c>
      <c r="C1938" s="19" t="s">
        <v>899</v>
      </c>
      <c r="D1938" s="19" t="s">
        <v>1045</v>
      </c>
      <c r="E1938" s="19" t="s">
        <v>1118</v>
      </c>
      <c r="F1938" s="19">
        <v>0</v>
      </c>
      <c r="G1938" s="43">
        <v>0.12</v>
      </c>
    </row>
    <row r="1939" spans="1:7" x14ac:dyDescent="0.3">
      <c r="A1939" s="19">
        <v>1722</v>
      </c>
      <c r="B1939" s="19" t="s">
        <v>2917</v>
      </c>
      <c r="C1939" s="19" t="s">
        <v>899</v>
      </c>
      <c r="D1939" s="19" t="s">
        <v>1045</v>
      </c>
      <c r="E1939" s="19" t="s">
        <v>1118</v>
      </c>
      <c r="F1939" s="19">
        <v>0</v>
      </c>
      <c r="G1939" s="43">
        <v>0.12</v>
      </c>
    </row>
    <row r="1940" spans="1:7" x14ac:dyDescent="0.3">
      <c r="A1940" s="19">
        <v>4093</v>
      </c>
      <c r="B1940" s="19" t="s">
        <v>2918</v>
      </c>
      <c r="C1940" s="19" t="s">
        <v>1338</v>
      </c>
      <c r="D1940" s="19" t="s">
        <v>1045</v>
      </c>
      <c r="E1940" s="19" t="s">
        <v>1118</v>
      </c>
      <c r="F1940" s="19">
        <v>1100</v>
      </c>
      <c r="G1940" s="43">
        <v>0.2</v>
      </c>
    </row>
    <row r="1941" spans="1:7" x14ac:dyDescent="0.3">
      <c r="A1941" s="19">
        <v>900</v>
      </c>
      <c r="B1941" s="19" t="s">
        <v>2919</v>
      </c>
      <c r="C1941" s="19" t="s">
        <v>899</v>
      </c>
      <c r="D1941" s="19" t="s">
        <v>1045</v>
      </c>
      <c r="E1941" s="19" t="s">
        <v>1118</v>
      </c>
      <c r="F1941" s="19">
        <v>0</v>
      </c>
      <c r="G1941" s="43">
        <v>0.14000000000000001</v>
      </c>
    </row>
    <row r="1942" spans="1:7" x14ac:dyDescent="0.3">
      <c r="A1942" s="19">
        <v>2189</v>
      </c>
      <c r="B1942" s="19" t="s">
        <v>2920</v>
      </c>
      <c r="C1942" s="19" t="s">
        <v>899</v>
      </c>
      <c r="D1942" s="19" t="s">
        <v>1045</v>
      </c>
      <c r="E1942" s="19" t="s">
        <v>1118</v>
      </c>
      <c r="F1942" s="19">
        <v>0</v>
      </c>
      <c r="G1942" s="43">
        <v>0.12</v>
      </c>
    </row>
    <row r="1943" spans="1:7" x14ac:dyDescent="0.3">
      <c r="A1943" s="19">
        <v>1721</v>
      </c>
      <c r="B1943" s="19" t="s">
        <v>2921</v>
      </c>
      <c r="C1943" s="19" t="s">
        <v>899</v>
      </c>
      <c r="D1943" s="19" t="s">
        <v>1045</v>
      </c>
      <c r="E1943" s="19" t="s">
        <v>1118</v>
      </c>
      <c r="F1943" s="19">
        <v>0</v>
      </c>
      <c r="G1943" s="43">
        <v>0.12</v>
      </c>
    </row>
    <row r="1944" spans="1:7" x14ac:dyDescent="0.3">
      <c r="A1944" s="19">
        <v>625</v>
      </c>
      <c r="B1944" s="19" t="s">
        <v>2922</v>
      </c>
      <c r="C1944" s="19" t="s">
        <v>899</v>
      </c>
      <c r="D1944" s="19" t="s">
        <v>1045</v>
      </c>
      <c r="E1944" s="19" t="s">
        <v>1118</v>
      </c>
      <c r="F1944" s="19">
        <v>0</v>
      </c>
      <c r="G1944" s="43">
        <v>0.12</v>
      </c>
    </row>
    <row r="1945" spans="1:7" x14ac:dyDescent="0.3">
      <c r="A1945" s="19">
        <v>2086</v>
      </c>
      <c r="B1945" s="19" t="s">
        <v>2923</v>
      </c>
      <c r="C1945" s="19" t="s">
        <v>899</v>
      </c>
      <c r="D1945" s="19" t="s">
        <v>1045</v>
      </c>
      <c r="E1945" s="19" t="s">
        <v>1118</v>
      </c>
      <c r="F1945" s="19">
        <v>0</v>
      </c>
      <c r="G1945" s="43">
        <v>0.12</v>
      </c>
    </row>
    <row r="1946" spans="1:7" x14ac:dyDescent="0.3">
      <c r="A1946" s="19">
        <v>3207</v>
      </c>
      <c r="B1946" s="19" t="s">
        <v>2924</v>
      </c>
      <c r="C1946" s="19" t="s">
        <v>899</v>
      </c>
      <c r="D1946" s="19" t="s">
        <v>1045</v>
      </c>
      <c r="E1946" s="19" t="s">
        <v>1118</v>
      </c>
      <c r="F1946" s="19">
        <v>0</v>
      </c>
      <c r="G1946" s="43">
        <v>0.12</v>
      </c>
    </row>
    <row r="1947" spans="1:7" x14ac:dyDescent="0.3">
      <c r="A1947" s="19">
        <v>657</v>
      </c>
      <c r="B1947" s="19" t="s">
        <v>2925</v>
      </c>
      <c r="C1947" s="19" t="s">
        <v>899</v>
      </c>
      <c r="D1947" s="19" t="s">
        <v>1045</v>
      </c>
      <c r="E1947" s="19" t="s">
        <v>1118</v>
      </c>
      <c r="F1947" s="19">
        <v>0</v>
      </c>
      <c r="G1947" s="43">
        <v>0.12</v>
      </c>
    </row>
    <row r="1948" spans="1:7" x14ac:dyDescent="0.3">
      <c r="A1948" s="19">
        <v>983</v>
      </c>
      <c r="B1948" s="19" t="s">
        <v>2926</v>
      </c>
      <c r="C1948" s="19" t="s">
        <v>899</v>
      </c>
      <c r="D1948" s="19" t="s">
        <v>1045</v>
      </c>
      <c r="E1948" s="19" t="s">
        <v>1118</v>
      </c>
      <c r="F1948" s="19">
        <v>0</v>
      </c>
      <c r="G1948" s="43">
        <v>0.12</v>
      </c>
    </row>
    <row r="1949" spans="1:7" x14ac:dyDescent="0.3">
      <c r="A1949" s="19">
        <v>1720</v>
      </c>
      <c r="B1949" s="19" t="s">
        <v>2927</v>
      </c>
      <c r="C1949" s="19" t="s">
        <v>899</v>
      </c>
      <c r="D1949" s="19" t="s">
        <v>1045</v>
      </c>
      <c r="E1949" s="19" t="s">
        <v>1118</v>
      </c>
      <c r="F1949" s="19">
        <v>0</v>
      </c>
      <c r="G1949" s="43">
        <v>0.12</v>
      </c>
    </row>
    <row r="1950" spans="1:7" x14ac:dyDescent="0.3">
      <c r="A1950" s="19">
        <v>2028</v>
      </c>
      <c r="B1950" s="19" t="s">
        <v>2928</v>
      </c>
      <c r="C1950" s="19" t="s">
        <v>899</v>
      </c>
      <c r="D1950" s="19" t="s">
        <v>1045</v>
      </c>
      <c r="E1950" s="19" t="s">
        <v>1118</v>
      </c>
      <c r="F1950" s="19">
        <v>0</v>
      </c>
      <c r="G1950" s="43">
        <v>0.14000000000000001</v>
      </c>
    </row>
    <row r="1951" spans="1:7" x14ac:dyDescent="0.3">
      <c r="A1951" s="19">
        <v>418</v>
      </c>
      <c r="B1951" s="19" t="s">
        <v>2929</v>
      </c>
      <c r="C1951" s="19" t="s">
        <v>899</v>
      </c>
      <c r="D1951" s="19" t="s">
        <v>1045</v>
      </c>
      <c r="E1951" s="19" t="s">
        <v>1118</v>
      </c>
      <c r="F1951" s="19">
        <v>0</v>
      </c>
      <c r="G1951" s="43">
        <v>0.14000000000000001</v>
      </c>
    </row>
    <row r="1952" spans="1:7" x14ac:dyDescent="0.3">
      <c r="A1952" s="19">
        <v>3641</v>
      </c>
      <c r="B1952" s="19" t="s">
        <v>2930</v>
      </c>
      <c r="C1952" s="19" t="s">
        <v>899</v>
      </c>
      <c r="D1952" s="19" t="s">
        <v>1045</v>
      </c>
      <c r="E1952" s="19" t="s">
        <v>1118</v>
      </c>
      <c r="F1952" s="19">
        <v>0</v>
      </c>
      <c r="G1952" s="43">
        <v>0.2</v>
      </c>
    </row>
    <row r="1953" spans="1:7" x14ac:dyDescent="0.3">
      <c r="A1953" s="19">
        <v>2130</v>
      </c>
      <c r="B1953" s="19" t="s">
        <v>2931</v>
      </c>
      <c r="C1953" s="19" t="s">
        <v>899</v>
      </c>
      <c r="D1953" s="19" t="s">
        <v>1045</v>
      </c>
      <c r="E1953" s="19" t="s">
        <v>1118</v>
      </c>
      <c r="F1953" s="19">
        <v>0</v>
      </c>
      <c r="G1953" s="43">
        <v>0.35</v>
      </c>
    </row>
    <row r="1954" spans="1:7" x14ac:dyDescent="0.3">
      <c r="A1954" s="19">
        <v>902</v>
      </c>
      <c r="B1954" s="19" t="s">
        <v>2932</v>
      </c>
      <c r="C1954" s="19" t="s">
        <v>899</v>
      </c>
      <c r="D1954" s="19" t="s">
        <v>1045</v>
      </c>
      <c r="E1954" s="19" t="s">
        <v>1118</v>
      </c>
      <c r="F1954" s="19">
        <v>0</v>
      </c>
      <c r="G1954" s="43">
        <v>0.12</v>
      </c>
    </row>
    <row r="1955" spans="1:7" x14ac:dyDescent="0.3">
      <c r="A1955" s="19">
        <v>3401</v>
      </c>
      <c r="B1955" s="19" t="s">
        <v>2933</v>
      </c>
      <c r="C1955" s="19" t="s">
        <v>899</v>
      </c>
      <c r="D1955" s="19" t="s">
        <v>1045</v>
      </c>
      <c r="E1955" s="19" t="s">
        <v>1118</v>
      </c>
      <c r="F1955" s="19">
        <v>0</v>
      </c>
      <c r="G1955" s="43">
        <v>0.2</v>
      </c>
    </row>
    <row r="1956" spans="1:7" x14ac:dyDescent="0.3">
      <c r="A1956" s="19">
        <v>2269</v>
      </c>
      <c r="B1956" s="19" t="s">
        <v>2934</v>
      </c>
      <c r="C1956" s="19" t="s">
        <v>899</v>
      </c>
      <c r="D1956" s="19" t="s">
        <v>1045</v>
      </c>
      <c r="E1956" s="19" t="s">
        <v>1118</v>
      </c>
      <c r="F1956" s="19">
        <v>0</v>
      </c>
      <c r="G1956" s="43">
        <v>0.12</v>
      </c>
    </row>
    <row r="1957" spans="1:7" x14ac:dyDescent="0.3">
      <c r="A1957" s="19">
        <v>2978</v>
      </c>
      <c r="B1957" s="19" t="s">
        <v>2935</v>
      </c>
      <c r="C1957" s="19" t="s">
        <v>899</v>
      </c>
      <c r="D1957" s="19" t="s">
        <v>1045</v>
      </c>
      <c r="E1957" s="19" t="s">
        <v>1118</v>
      </c>
      <c r="F1957" s="19">
        <v>0</v>
      </c>
      <c r="G1957" s="43">
        <v>0.12</v>
      </c>
    </row>
    <row r="1958" spans="1:7" x14ac:dyDescent="0.3">
      <c r="A1958" s="19">
        <v>1689</v>
      </c>
      <c r="B1958" s="19" t="s">
        <v>2936</v>
      </c>
      <c r="C1958" s="19" t="s">
        <v>899</v>
      </c>
      <c r="D1958" s="19" t="s">
        <v>1045</v>
      </c>
      <c r="E1958" s="19" t="s">
        <v>1118</v>
      </c>
      <c r="F1958" s="19">
        <v>0</v>
      </c>
      <c r="G1958" s="43">
        <v>0.12</v>
      </c>
    </row>
    <row r="1959" spans="1:7" x14ac:dyDescent="0.3">
      <c r="A1959" s="19">
        <v>1379</v>
      </c>
      <c r="B1959" s="19" t="s">
        <v>2937</v>
      </c>
      <c r="C1959" s="19" t="s">
        <v>899</v>
      </c>
      <c r="D1959" s="19" t="s">
        <v>1045</v>
      </c>
      <c r="E1959" s="19" t="s">
        <v>1118</v>
      </c>
      <c r="F1959" s="19">
        <v>0</v>
      </c>
      <c r="G1959" s="43">
        <v>0.14000000000000001</v>
      </c>
    </row>
    <row r="1960" spans="1:7" x14ac:dyDescent="0.3">
      <c r="A1960" s="19">
        <v>3402</v>
      </c>
      <c r="B1960" s="19" t="s">
        <v>2938</v>
      </c>
      <c r="C1960" s="19" t="s">
        <v>899</v>
      </c>
      <c r="D1960" s="19" t="s">
        <v>1045</v>
      </c>
      <c r="E1960" s="19" t="s">
        <v>1118</v>
      </c>
      <c r="F1960" s="19">
        <v>0</v>
      </c>
      <c r="G1960" s="43">
        <v>0.2</v>
      </c>
    </row>
    <row r="1961" spans="1:7" x14ac:dyDescent="0.3">
      <c r="A1961" s="19">
        <v>1267</v>
      </c>
      <c r="B1961" s="19" t="s">
        <v>2939</v>
      </c>
      <c r="C1961" s="19" t="s">
        <v>899</v>
      </c>
      <c r="D1961" s="19" t="s">
        <v>1045</v>
      </c>
      <c r="E1961" s="19" t="s">
        <v>1118</v>
      </c>
      <c r="F1961" s="19">
        <v>0</v>
      </c>
      <c r="G1961" s="43">
        <v>0.12</v>
      </c>
    </row>
    <row r="1962" spans="1:7" x14ac:dyDescent="0.3">
      <c r="A1962" s="19">
        <v>2433</v>
      </c>
      <c r="B1962" s="19" t="s">
        <v>2940</v>
      </c>
      <c r="C1962" s="19" t="s">
        <v>899</v>
      </c>
      <c r="D1962" s="19" t="s">
        <v>1045</v>
      </c>
      <c r="E1962" s="19" t="s">
        <v>1118</v>
      </c>
      <c r="F1962" s="19">
        <v>0</v>
      </c>
      <c r="G1962" s="43">
        <v>0.12</v>
      </c>
    </row>
    <row r="1963" spans="1:7" x14ac:dyDescent="0.3">
      <c r="A1963" s="19">
        <v>599</v>
      </c>
      <c r="B1963" s="19" t="s">
        <v>2941</v>
      </c>
      <c r="C1963" s="19" t="s">
        <v>899</v>
      </c>
      <c r="D1963" s="19" t="s">
        <v>1045</v>
      </c>
      <c r="E1963" s="19" t="s">
        <v>1118</v>
      </c>
      <c r="F1963" s="19">
        <v>0</v>
      </c>
      <c r="G1963" s="43">
        <v>0.2</v>
      </c>
    </row>
    <row r="1964" spans="1:7" x14ac:dyDescent="0.3">
      <c r="A1964" s="19">
        <v>2647</v>
      </c>
      <c r="B1964" s="19" t="s">
        <v>2942</v>
      </c>
      <c r="C1964" s="19" t="s">
        <v>899</v>
      </c>
      <c r="D1964" s="19" t="s">
        <v>1045</v>
      </c>
      <c r="E1964" s="19" t="s">
        <v>1118</v>
      </c>
      <c r="F1964" s="19">
        <v>0</v>
      </c>
      <c r="G1964" s="43">
        <v>0.35</v>
      </c>
    </row>
    <row r="1965" spans="1:7" x14ac:dyDescent="0.3">
      <c r="A1965" s="19">
        <v>903</v>
      </c>
      <c r="B1965" s="19" t="s">
        <v>2943</v>
      </c>
      <c r="C1965" s="19" t="s">
        <v>899</v>
      </c>
      <c r="D1965" s="19" t="s">
        <v>1045</v>
      </c>
      <c r="E1965" s="19" t="s">
        <v>1118</v>
      </c>
      <c r="F1965" s="19">
        <v>0</v>
      </c>
      <c r="G1965" s="43">
        <v>0.14000000000000001</v>
      </c>
    </row>
    <row r="1966" spans="1:7" x14ac:dyDescent="0.3">
      <c r="A1966" s="19">
        <v>3693</v>
      </c>
      <c r="B1966" s="19" t="s">
        <v>2944</v>
      </c>
      <c r="C1966" s="19" t="s">
        <v>899</v>
      </c>
      <c r="D1966" s="19" t="s">
        <v>1045</v>
      </c>
      <c r="E1966" s="19" t="s">
        <v>1118</v>
      </c>
      <c r="F1966" s="19">
        <v>0</v>
      </c>
      <c r="G1966" s="43">
        <v>0.12</v>
      </c>
    </row>
    <row r="1967" spans="1:7" x14ac:dyDescent="0.3">
      <c r="A1967" s="19">
        <v>1200</v>
      </c>
      <c r="B1967" s="19" t="s">
        <v>2945</v>
      </c>
      <c r="C1967" s="19" t="s">
        <v>899</v>
      </c>
      <c r="D1967" s="19" t="s">
        <v>1045</v>
      </c>
      <c r="E1967" s="19" t="s">
        <v>1118</v>
      </c>
      <c r="F1967" s="19">
        <v>0</v>
      </c>
      <c r="G1967" s="43">
        <v>0.2</v>
      </c>
    </row>
    <row r="1968" spans="1:7" x14ac:dyDescent="0.3">
      <c r="A1968" s="19">
        <v>2648</v>
      </c>
      <c r="B1968" s="19" t="s">
        <v>2946</v>
      </c>
      <c r="C1968" s="19" t="s">
        <v>899</v>
      </c>
      <c r="D1968" s="19" t="s">
        <v>1045</v>
      </c>
      <c r="E1968" s="19" t="s">
        <v>1118</v>
      </c>
      <c r="F1968" s="19">
        <v>0</v>
      </c>
      <c r="G1968" s="43">
        <v>0.35</v>
      </c>
    </row>
    <row r="1969" spans="1:7" x14ac:dyDescent="0.3">
      <c r="A1969" s="19">
        <v>3711</v>
      </c>
      <c r="B1969" s="19" t="s">
        <v>2947</v>
      </c>
      <c r="C1969" s="19" t="s">
        <v>899</v>
      </c>
      <c r="D1969" s="19" t="s">
        <v>1045</v>
      </c>
      <c r="E1969" s="19" t="s">
        <v>1118</v>
      </c>
      <c r="F1969" s="19">
        <v>0</v>
      </c>
      <c r="G1969" s="43">
        <v>0.2</v>
      </c>
    </row>
    <row r="1970" spans="1:7" x14ac:dyDescent="0.3">
      <c r="A1970" s="19">
        <v>2029</v>
      </c>
      <c r="B1970" s="19" t="s">
        <v>2948</v>
      </c>
      <c r="C1970" s="19" t="s">
        <v>899</v>
      </c>
      <c r="D1970" s="19" t="s">
        <v>1045</v>
      </c>
      <c r="E1970" s="19" t="s">
        <v>1118</v>
      </c>
      <c r="F1970" s="19">
        <v>0</v>
      </c>
      <c r="G1970" s="43">
        <v>0.12</v>
      </c>
    </row>
    <row r="1971" spans="1:7" x14ac:dyDescent="0.3">
      <c r="A1971" s="19">
        <v>1719</v>
      </c>
      <c r="B1971" s="19" t="s">
        <v>2949</v>
      </c>
      <c r="C1971" s="19" t="s">
        <v>899</v>
      </c>
      <c r="D1971" s="19" t="s">
        <v>1045</v>
      </c>
      <c r="E1971" s="19" t="s">
        <v>1118</v>
      </c>
      <c r="F1971" s="19">
        <v>0</v>
      </c>
      <c r="G1971" s="43">
        <v>0.12</v>
      </c>
    </row>
    <row r="1972" spans="1:7" x14ac:dyDescent="0.3">
      <c r="A1972" s="19">
        <v>1718</v>
      </c>
      <c r="B1972" s="19" t="s">
        <v>2950</v>
      </c>
      <c r="C1972" s="19" t="s">
        <v>899</v>
      </c>
      <c r="D1972" s="19" t="s">
        <v>1045</v>
      </c>
      <c r="E1972" s="19" t="s">
        <v>1118</v>
      </c>
      <c r="F1972" s="19">
        <v>0</v>
      </c>
      <c r="G1972" s="43">
        <v>0.12</v>
      </c>
    </row>
    <row r="1973" spans="1:7" x14ac:dyDescent="0.3">
      <c r="A1973" s="19">
        <v>904</v>
      </c>
      <c r="B1973" s="19" t="s">
        <v>2951</v>
      </c>
      <c r="C1973" s="19" t="s">
        <v>899</v>
      </c>
      <c r="D1973" s="19" t="s">
        <v>1045</v>
      </c>
      <c r="E1973" s="19" t="s">
        <v>1118</v>
      </c>
      <c r="F1973" s="19">
        <v>0</v>
      </c>
      <c r="G1973" s="43">
        <v>0.12</v>
      </c>
    </row>
    <row r="1974" spans="1:7" x14ac:dyDescent="0.3">
      <c r="A1974" s="19">
        <v>2858</v>
      </c>
      <c r="B1974" s="19" t="s">
        <v>2952</v>
      </c>
      <c r="C1974" s="19" t="s">
        <v>899</v>
      </c>
      <c r="D1974" s="19" t="s">
        <v>1045</v>
      </c>
      <c r="E1974" s="19" t="s">
        <v>1118</v>
      </c>
      <c r="F1974" s="19">
        <v>0</v>
      </c>
      <c r="G1974" s="43">
        <v>0.12</v>
      </c>
    </row>
    <row r="1975" spans="1:7" x14ac:dyDescent="0.3">
      <c r="A1975" s="19">
        <v>4036</v>
      </c>
      <c r="B1975" s="19" t="s">
        <v>2953</v>
      </c>
      <c r="C1975" s="19" t="s">
        <v>899</v>
      </c>
      <c r="D1975" s="19" t="s">
        <v>1045</v>
      </c>
      <c r="E1975" s="19" t="s">
        <v>1118</v>
      </c>
      <c r="F1975" s="19">
        <v>0</v>
      </c>
      <c r="G1975" s="43">
        <v>0.14000000000000001</v>
      </c>
    </row>
    <row r="1976" spans="1:7" x14ac:dyDescent="0.3">
      <c r="A1976" s="19">
        <v>2271</v>
      </c>
      <c r="B1976" s="19" t="s">
        <v>2954</v>
      </c>
      <c r="C1976" s="19" t="s">
        <v>899</v>
      </c>
      <c r="D1976" s="19" t="s">
        <v>1045</v>
      </c>
      <c r="E1976" s="19" t="s">
        <v>1118</v>
      </c>
      <c r="F1976" s="19">
        <v>0</v>
      </c>
      <c r="G1976" s="43">
        <v>0.2</v>
      </c>
    </row>
    <row r="1977" spans="1:7" x14ac:dyDescent="0.3">
      <c r="A1977" s="19">
        <v>2434</v>
      </c>
      <c r="B1977" s="19" t="s">
        <v>2955</v>
      </c>
      <c r="C1977" s="19" t="s">
        <v>899</v>
      </c>
      <c r="D1977" s="19" t="s">
        <v>1045</v>
      </c>
      <c r="E1977" s="19" t="s">
        <v>1118</v>
      </c>
      <c r="F1977" s="19">
        <v>0</v>
      </c>
      <c r="G1977" s="43">
        <v>0.12</v>
      </c>
    </row>
    <row r="1978" spans="1:7" x14ac:dyDescent="0.3">
      <c r="A1978" s="19">
        <v>1717</v>
      </c>
      <c r="B1978" s="19" t="s">
        <v>2956</v>
      </c>
      <c r="C1978" s="19" t="s">
        <v>899</v>
      </c>
      <c r="D1978" s="19" t="s">
        <v>1045</v>
      </c>
      <c r="E1978" s="19" t="s">
        <v>1118</v>
      </c>
      <c r="F1978" s="19">
        <v>0</v>
      </c>
      <c r="G1978" s="43">
        <v>0.12</v>
      </c>
    </row>
    <row r="1979" spans="1:7" x14ac:dyDescent="0.3">
      <c r="A1979" s="19">
        <v>1184</v>
      </c>
      <c r="B1979" s="19" t="s">
        <v>2957</v>
      </c>
      <c r="C1979" s="19" t="s">
        <v>899</v>
      </c>
      <c r="D1979" s="19" t="s">
        <v>1045</v>
      </c>
      <c r="E1979" s="19" t="s">
        <v>1118</v>
      </c>
      <c r="F1979" s="19">
        <v>0</v>
      </c>
      <c r="G1979" s="43">
        <v>0.12</v>
      </c>
    </row>
    <row r="1980" spans="1:7" x14ac:dyDescent="0.3">
      <c r="A1980" s="19">
        <v>2996</v>
      </c>
      <c r="B1980" s="19" t="s">
        <v>2958</v>
      </c>
      <c r="C1980" s="19" t="s">
        <v>899</v>
      </c>
      <c r="D1980" s="19" t="s">
        <v>1045</v>
      </c>
      <c r="E1980" s="19" t="s">
        <v>1118</v>
      </c>
      <c r="F1980" s="19">
        <v>0</v>
      </c>
      <c r="G1980" s="43">
        <v>0.12</v>
      </c>
    </row>
    <row r="1981" spans="1:7" x14ac:dyDescent="0.3">
      <c r="A1981" s="19">
        <v>1649</v>
      </c>
      <c r="B1981" s="19" t="s">
        <v>2959</v>
      </c>
      <c r="C1981" s="19" t="s">
        <v>899</v>
      </c>
      <c r="D1981" s="19" t="s">
        <v>1045</v>
      </c>
      <c r="E1981" s="19" t="s">
        <v>1118</v>
      </c>
      <c r="F1981" s="19">
        <v>0</v>
      </c>
      <c r="G1981" s="43">
        <v>0.12</v>
      </c>
    </row>
    <row r="1982" spans="1:7" x14ac:dyDescent="0.3">
      <c r="A1982" s="19">
        <v>1716</v>
      </c>
      <c r="B1982" s="19" t="s">
        <v>2960</v>
      </c>
      <c r="C1982" s="19" t="s">
        <v>899</v>
      </c>
      <c r="D1982" s="19" t="s">
        <v>1045</v>
      </c>
      <c r="E1982" s="19" t="s">
        <v>1118</v>
      </c>
      <c r="F1982" s="19">
        <v>0</v>
      </c>
      <c r="G1982" s="43">
        <v>0.12</v>
      </c>
    </row>
    <row r="1983" spans="1:7" x14ac:dyDescent="0.3">
      <c r="A1983" s="19">
        <v>1650</v>
      </c>
      <c r="B1983" s="19" t="s">
        <v>2961</v>
      </c>
      <c r="C1983" s="19" t="s">
        <v>899</v>
      </c>
      <c r="D1983" s="19" t="s">
        <v>1045</v>
      </c>
      <c r="E1983" s="19" t="s">
        <v>1118</v>
      </c>
      <c r="F1983" s="19">
        <v>0</v>
      </c>
      <c r="G1983" s="43">
        <v>0.12</v>
      </c>
    </row>
    <row r="1984" spans="1:7" x14ac:dyDescent="0.3">
      <c r="A1984" s="19">
        <v>1651</v>
      </c>
      <c r="B1984" s="19" t="s">
        <v>2962</v>
      </c>
      <c r="C1984" s="19" t="s">
        <v>899</v>
      </c>
      <c r="D1984" s="19" t="s">
        <v>1045</v>
      </c>
      <c r="E1984" s="19" t="s">
        <v>1118</v>
      </c>
      <c r="F1984" s="19">
        <v>0</v>
      </c>
      <c r="G1984" s="43">
        <v>0.12</v>
      </c>
    </row>
    <row r="1985" spans="1:7" x14ac:dyDescent="0.3">
      <c r="A1985" s="19">
        <v>2085</v>
      </c>
      <c r="B1985" s="19" t="s">
        <v>2963</v>
      </c>
      <c r="C1985" s="19" t="s">
        <v>899</v>
      </c>
      <c r="D1985" s="19" t="s">
        <v>1045</v>
      </c>
      <c r="E1985" s="19" t="s">
        <v>1118</v>
      </c>
      <c r="F1985" s="19">
        <v>0</v>
      </c>
      <c r="G1985" s="43">
        <v>0.12</v>
      </c>
    </row>
    <row r="1986" spans="1:7" x14ac:dyDescent="0.3">
      <c r="A1986" s="19">
        <v>910</v>
      </c>
      <c r="B1986" s="19" t="s">
        <v>2964</v>
      </c>
      <c r="C1986" s="19" t="s">
        <v>899</v>
      </c>
      <c r="D1986" s="19" t="s">
        <v>1045</v>
      </c>
      <c r="E1986" s="19" t="s">
        <v>1118</v>
      </c>
      <c r="F1986" s="19">
        <v>0</v>
      </c>
      <c r="G1986" s="43">
        <v>0.14000000000000001</v>
      </c>
    </row>
    <row r="1987" spans="1:7" x14ac:dyDescent="0.3">
      <c r="A1987" s="19">
        <v>3345</v>
      </c>
      <c r="B1987" s="19" t="s">
        <v>2965</v>
      </c>
      <c r="C1987" s="19" t="s">
        <v>899</v>
      </c>
      <c r="D1987" s="19" t="s">
        <v>1045</v>
      </c>
      <c r="E1987" s="19" t="s">
        <v>1118</v>
      </c>
      <c r="F1987" s="19">
        <v>0</v>
      </c>
      <c r="G1987" s="43">
        <v>0.12</v>
      </c>
    </row>
    <row r="1988" spans="1:7" x14ac:dyDescent="0.3">
      <c r="A1988" s="19">
        <v>1652</v>
      </c>
      <c r="B1988" s="19" t="s">
        <v>2966</v>
      </c>
      <c r="C1988" s="19" t="s">
        <v>899</v>
      </c>
      <c r="D1988" s="19" t="s">
        <v>1045</v>
      </c>
      <c r="E1988" s="19" t="s">
        <v>1118</v>
      </c>
      <c r="F1988" s="19">
        <v>0</v>
      </c>
      <c r="G1988" s="43">
        <v>0.12</v>
      </c>
    </row>
    <row r="1989" spans="1:7" x14ac:dyDescent="0.3">
      <c r="A1989" s="19">
        <v>2206</v>
      </c>
      <c r="B1989" s="19" t="s">
        <v>2967</v>
      </c>
      <c r="C1989" s="19" t="s">
        <v>899</v>
      </c>
      <c r="D1989" s="19" t="s">
        <v>1045</v>
      </c>
      <c r="E1989" s="19" t="s">
        <v>1118</v>
      </c>
      <c r="F1989" s="19">
        <v>0</v>
      </c>
      <c r="G1989" s="43">
        <v>0.14000000000000001</v>
      </c>
    </row>
    <row r="1990" spans="1:7" x14ac:dyDescent="0.3">
      <c r="A1990" s="19">
        <v>2030</v>
      </c>
      <c r="B1990" s="19" t="s">
        <v>2968</v>
      </c>
      <c r="C1990" s="19" t="s">
        <v>899</v>
      </c>
      <c r="D1990" s="19" t="s">
        <v>1045</v>
      </c>
      <c r="E1990" s="19" t="s">
        <v>1118</v>
      </c>
      <c r="F1990" s="19">
        <v>0</v>
      </c>
      <c r="G1990" s="43">
        <v>0.2</v>
      </c>
    </row>
    <row r="1991" spans="1:7" x14ac:dyDescent="0.3">
      <c r="A1991" s="19">
        <v>3202</v>
      </c>
      <c r="B1991" s="19" t="s">
        <v>2969</v>
      </c>
      <c r="C1991" s="19" t="s">
        <v>899</v>
      </c>
      <c r="D1991" s="19" t="s">
        <v>1045</v>
      </c>
      <c r="E1991" s="19" t="s">
        <v>1118</v>
      </c>
      <c r="F1991" s="19">
        <v>0</v>
      </c>
      <c r="G1991" s="43">
        <v>0.12</v>
      </c>
    </row>
    <row r="1992" spans="1:7" x14ac:dyDescent="0.3">
      <c r="A1992" s="19">
        <v>3385</v>
      </c>
      <c r="B1992" s="19" t="s">
        <v>2970</v>
      </c>
      <c r="C1992" s="19" t="s">
        <v>899</v>
      </c>
      <c r="D1992" s="19" t="s">
        <v>1045</v>
      </c>
      <c r="E1992" s="19" t="s">
        <v>1118</v>
      </c>
      <c r="F1992" s="19">
        <v>0</v>
      </c>
      <c r="G1992" s="43">
        <v>0.2</v>
      </c>
    </row>
    <row r="1993" spans="1:7" x14ac:dyDescent="0.3">
      <c r="A1993" s="19">
        <v>907</v>
      </c>
      <c r="B1993" s="19" t="s">
        <v>2971</v>
      </c>
      <c r="C1993" s="19" t="s">
        <v>899</v>
      </c>
      <c r="D1993" s="19" t="s">
        <v>1045</v>
      </c>
      <c r="E1993" s="19" t="s">
        <v>1118</v>
      </c>
      <c r="F1993" s="19">
        <v>0</v>
      </c>
      <c r="G1993" s="43">
        <v>0.12</v>
      </c>
    </row>
    <row r="1994" spans="1:7" x14ac:dyDescent="0.3">
      <c r="A1994" s="19">
        <v>1198</v>
      </c>
      <c r="B1994" s="19" t="s">
        <v>2972</v>
      </c>
      <c r="C1994" s="19" t="s">
        <v>899</v>
      </c>
      <c r="D1994" s="19" t="s">
        <v>1045</v>
      </c>
      <c r="E1994" s="19" t="s">
        <v>1118</v>
      </c>
      <c r="F1994" s="19">
        <v>0</v>
      </c>
      <c r="G1994" s="43">
        <v>0.14000000000000001</v>
      </c>
    </row>
    <row r="1995" spans="1:7" x14ac:dyDescent="0.3">
      <c r="A1995" s="19">
        <v>2637</v>
      </c>
      <c r="B1995" s="19" t="s">
        <v>2973</v>
      </c>
      <c r="C1995" s="19" t="s">
        <v>899</v>
      </c>
      <c r="D1995" s="19" t="s">
        <v>1045</v>
      </c>
      <c r="E1995" s="19" t="s">
        <v>1118</v>
      </c>
      <c r="F1995" s="19">
        <v>0</v>
      </c>
      <c r="G1995" s="43">
        <v>0.35</v>
      </c>
    </row>
    <row r="1996" spans="1:7" x14ac:dyDescent="0.3">
      <c r="A1996" s="19">
        <v>1715</v>
      </c>
      <c r="B1996" s="19" t="s">
        <v>2974</v>
      </c>
      <c r="C1996" s="19" t="s">
        <v>899</v>
      </c>
      <c r="D1996" s="19" t="s">
        <v>1045</v>
      </c>
      <c r="E1996" s="19" t="s">
        <v>1118</v>
      </c>
      <c r="F1996" s="19">
        <v>0</v>
      </c>
      <c r="G1996" s="43">
        <v>0.12</v>
      </c>
    </row>
    <row r="1997" spans="1:7" x14ac:dyDescent="0.3">
      <c r="A1997" s="19">
        <v>3063</v>
      </c>
      <c r="B1997" s="19" t="s">
        <v>2975</v>
      </c>
      <c r="C1997" s="19" t="s">
        <v>899</v>
      </c>
      <c r="D1997" s="19" t="s">
        <v>1045</v>
      </c>
      <c r="E1997" s="19" t="s">
        <v>1118</v>
      </c>
      <c r="F1997" s="19">
        <v>0</v>
      </c>
      <c r="G1997" s="43">
        <v>0.12</v>
      </c>
    </row>
    <row r="1998" spans="1:7" x14ac:dyDescent="0.3">
      <c r="A1998" s="19">
        <v>1199</v>
      </c>
      <c r="B1998" s="19" t="s">
        <v>2976</v>
      </c>
      <c r="C1998" s="19" t="s">
        <v>899</v>
      </c>
      <c r="D1998" s="19" t="s">
        <v>1045</v>
      </c>
      <c r="E1998" s="19" t="s">
        <v>1118</v>
      </c>
      <c r="F1998" s="19">
        <v>0</v>
      </c>
      <c r="G1998" s="43">
        <v>0.2</v>
      </c>
    </row>
    <row r="1999" spans="1:7" x14ac:dyDescent="0.3">
      <c r="A1999" s="19">
        <v>2125</v>
      </c>
      <c r="B1999" s="19" t="s">
        <v>2977</v>
      </c>
      <c r="C1999" s="19" t="s">
        <v>899</v>
      </c>
      <c r="D1999" s="19" t="s">
        <v>1045</v>
      </c>
      <c r="E1999" s="19" t="s">
        <v>1118</v>
      </c>
      <c r="F1999" s="19">
        <v>0</v>
      </c>
      <c r="G1999" s="43">
        <v>0.35</v>
      </c>
    </row>
    <row r="2000" spans="1:7" x14ac:dyDescent="0.3">
      <c r="A2000" s="19">
        <v>908</v>
      </c>
      <c r="B2000" s="19" t="s">
        <v>2978</v>
      </c>
      <c r="C2000" s="19" t="s">
        <v>899</v>
      </c>
      <c r="D2000" s="19" t="s">
        <v>1045</v>
      </c>
      <c r="E2000" s="19" t="s">
        <v>1118</v>
      </c>
      <c r="F2000" s="19">
        <v>0</v>
      </c>
      <c r="G2000" s="43">
        <v>0.12</v>
      </c>
    </row>
    <row r="2001" spans="1:7" x14ac:dyDescent="0.3">
      <c r="A2001" s="19">
        <v>602</v>
      </c>
      <c r="B2001" s="19" t="s">
        <v>2979</v>
      </c>
      <c r="C2001" s="19" t="s">
        <v>899</v>
      </c>
      <c r="D2001" s="19" t="s">
        <v>1045</v>
      </c>
      <c r="E2001" s="19" t="s">
        <v>1118</v>
      </c>
      <c r="F2001" s="19">
        <v>0</v>
      </c>
      <c r="G2001" s="43">
        <v>0.2</v>
      </c>
    </row>
    <row r="2002" spans="1:7" x14ac:dyDescent="0.3">
      <c r="A2002" s="19">
        <v>909</v>
      </c>
      <c r="B2002" s="19" t="s">
        <v>2980</v>
      </c>
      <c r="C2002" s="19" t="s">
        <v>899</v>
      </c>
      <c r="D2002" s="19" t="s">
        <v>1045</v>
      </c>
      <c r="E2002" s="19" t="s">
        <v>1118</v>
      </c>
      <c r="F2002" s="19">
        <v>0</v>
      </c>
      <c r="G2002" s="43">
        <v>0.12</v>
      </c>
    </row>
    <row r="2003" spans="1:7" x14ac:dyDescent="0.3">
      <c r="A2003" s="19">
        <v>1714</v>
      </c>
      <c r="B2003" s="19" t="s">
        <v>2981</v>
      </c>
      <c r="C2003" s="19" t="s">
        <v>899</v>
      </c>
      <c r="D2003" s="19" t="s">
        <v>1045</v>
      </c>
      <c r="E2003" s="19" t="s">
        <v>1118</v>
      </c>
      <c r="F2003" s="19">
        <v>0</v>
      </c>
      <c r="G2003" s="43">
        <v>0.12</v>
      </c>
    </row>
    <row r="2004" spans="1:7" x14ac:dyDescent="0.3">
      <c r="A2004" s="19">
        <v>2977</v>
      </c>
      <c r="B2004" s="19" t="s">
        <v>2982</v>
      </c>
      <c r="C2004" s="19" t="s">
        <v>899</v>
      </c>
      <c r="D2004" s="19" t="s">
        <v>1045</v>
      </c>
      <c r="E2004" s="19" t="s">
        <v>1118</v>
      </c>
      <c r="F2004" s="19">
        <v>0</v>
      </c>
      <c r="G2004" s="43">
        <v>0.12</v>
      </c>
    </row>
    <row r="2005" spans="1:7" x14ac:dyDescent="0.3">
      <c r="A2005" s="19">
        <v>1713</v>
      </c>
      <c r="B2005" s="19" t="s">
        <v>2983</v>
      </c>
      <c r="C2005" s="19" t="s">
        <v>899</v>
      </c>
      <c r="D2005" s="19" t="s">
        <v>1045</v>
      </c>
      <c r="E2005" s="19" t="s">
        <v>1118</v>
      </c>
      <c r="F2005" s="19">
        <v>0</v>
      </c>
      <c r="G2005" s="43">
        <v>0.12</v>
      </c>
    </row>
    <row r="2006" spans="1:7" x14ac:dyDescent="0.3">
      <c r="A2006" s="19">
        <v>1186</v>
      </c>
      <c r="B2006" s="19" t="s">
        <v>2984</v>
      </c>
      <c r="C2006" s="19" t="s">
        <v>899</v>
      </c>
      <c r="D2006" s="19" t="s">
        <v>1045</v>
      </c>
      <c r="E2006" s="19" t="s">
        <v>1118</v>
      </c>
      <c r="F2006" s="19">
        <v>0</v>
      </c>
      <c r="G2006" s="43">
        <v>0.12</v>
      </c>
    </row>
    <row r="2007" spans="1:7" x14ac:dyDescent="0.3">
      <c r="A2007" s="19">
        <v>2789</v>
      </c>
      <c r="B2007" s="19" t="s">
        <v>2985</v>
      </c>
      <c r="C2007" s="19" t="s">
        <v>899</v>
      </c>
      <c r="D2007" s="19" t="s">
        <v>1045</v>
      </c>
      <c r="E2007" s="19" t="s">
        <v>1118</v>
      </c>
      <c r="F2007" s="19">
        <v>0</v>
      </c>
      <c r="G2007" s="43">
        <v>0.12</v>
      </c>
    </row>
    <row r="2008" spans="1:7" x14ac:dyDescent="0.3">
      <c r="A2008" s="19">
        <v>1298</v>
      </c>
      <c r="B2008" s="19" t="s">
        <v>2986</v>
      </c>
      <c r="C2008" s="19" t="s">
        <v>899</v>
      </c>
      <c r="D2008" s="19" t="s">
        <v>1045</v>
      </c>
      <c r="E2008" s="19" t="s">
        <v>1118</v>
      </c>
      <c r="F2008" s="19">
        <v>0</v>
      </c>
      <c r="G2008" s="43">
        <v>0.12</v>
      </c>
    </row>
    <row r="2009" spans="1:7" x14ac:dyDescent="0.3">
      <c r="A2009" s="19">
        <v>2735</v>
      </c>
      <c r="B2009" s="19" t="s">
        <v>2987</v>
      </c>
      <c r="C2009" s="19" t="s">
        <v>899</v>
      </c>
      <c r="D2009" s="19" t="s">
        <v>1045</v>
      </c>
      <c r="E2009" s="19" t="s">
        <v>1118</v>
      </c>
      <c r="F2009" s="19">
        <v>0</v>
      </c>
      <c r="G2009" s="43">
        <v>0.12</v>
      </c>
    </row>
    <row r="2010" spans="1:7" x14ac:dyDescent="0.3">
      <c r="A2010" s="19">
        <v>631</v>
      </c>
      <c r="B2010" s="19" t="s">
        <v>2988</v>
      </c>
      <c r="C2010" s="19" t="s">
        <v>899</v>
      </c>
      <c r="D2010" s="19" t="s">
        <v>1045</v>
      </c>
      <c r="E2010" s="19" t="s">
        <v>1118</v>
      </c>
      <c r="F2010" s="19">
        <v>0</v>
      </c>
      <c r="G2010" s="43">
        <v>0.15</v>
      </c>
    </row>
    <row r="2011" spans="1:7" x14ac:dyDescent="0.3">
      <c r="A2011" s="19">
        <v>2976</v>
      </c>
      <c r="B2011" s="19" t="s">
        <v>2989</v>
      </c>
      <c r="C2011" s="19" t="s">
        <v>899</v>
      </c>
      <c r="D2011" s="19" t="s">
        <v>1045</v>
      </c>
      <c r="E2011" s="19" t="s">
        <v>1118</v>
      </c>
      <c r="F2011" s="19">
        <v>0</v>
      </c>
      <c r="G2011" s="43">
        <v>0.2</v>
      </c>
    </row>
    <row r="2012" spans="1:7" x14ac:dyDescent="0.3">
      <c r="A2012" s="19">
        <v>3487</v>
      </c>
      <c r="B2012" s="19" t="s">
        <v>2989</v>
      </c>
      <c r="C2012" s="19" t="s">
        <v>899</v>
      </c>
      <c r="D2012" s="19" t="s">
        <v>1045</v>
      </c>
      <c r="E2012" s="19" t="s">
        <v>1118</v>
      </c>
      <c r="F2012" s="19">
        <v>0</v>
      </c>
      <c r="G2012" s="43">
        <v>0.2</v>
      </c>
    </row>
    <row r="2013" spans="1:7" x14ac:dyDescent="0.3">
      <c r="A2013" s="19">
        <v>4077</v>
      </c>
      <c r="B2013" s="19" t="s">
        <v>2990</v>
      </c>
      <c r="C2013" s="19" t="s">
        <v>1338</v>
      </c>
      <c r="D2013" s="19" t="s">
        <v>1045</v>
      </c>
      <c r="E2013" s="19" t="s">
        <v>1118</v>
      </c>
      <c r="F2013" s="19">
        <v>1100</v>
      </c>
      <c r="G2013" s="43">
        <v>0.2</v>
      </c>
    </row>
    <row r="2014" spans="1:7" x14ac:dyDescent="0.3">
      <c r="A2014" s="19">
        <v>1306</v>
      </c>
      <c r="B2014" s="19" t="s">
        <v>2991</v>
      </c>
      <c r="C2014" s="19" t="s">
        <v>899</v>
      </c>
      <c r="D2014" s="19" t="s">
        <v>1045</v>
      </c>
      <c r="E2014" s="19" t="s">
        <v>1118</v>
      </c>
      <c r="F2014" s="19">
        <v>0</v>
      </c>
      <c r="G2014" s="43">
        <v>0.12</v>
      </c>
    </row>
    <row r="2015" spans="1:7" x14ac:dyDescent="0.3">
      <c r="A2015" s="19">
        <v>2203</v>
      </c>
      <c r="B2015" s="19" t="s">
        <v>2992</v>
      </c>
      <c r="C2015" s="19" t="s">
        <v>899</v>
      </c>
      <c r="D2015" s="19" t="s">
        <v>1045</v>
      </c>
      <c r="E2015" s="19" t="s">
        <v>1118</v>
      </c>
      <c r="F2015" s="19">
        <v>0</v>
      </c>
      <c r="G2015" s="43">
        <v>0.2</v>
      </c>
    </row>
    <row r="2016" spans="1:7" x14ac:dyDescent="0.3">
      <c r="A2016" s="19">
        <v>1156</v>
      </c>
      <c r="B2016" s="19" t="s">
        <v>2993</v>
      </c>
      <c r="C2016" s="19" t="s">
        <v>899</v>
      </c>
      <c r="D2016" s="19" t="s">
        <v>1045</v>
      </c>
      <c r="E2016" s="19" t="s">
        <v>1118</v>
      </c>
      <c r="F2016" s="19">
        <v>0</v>
      </c>
      <c r="G2016" s="43">
        <v>0.12</v>
      </c>
    </row>
    <row r="2017" spans="1:7" x14ac:dyDescent="0.3">
      <c r="A2017" s="19">
        <v>2273</v>
      </c>
      <c r="B2017" s="19" t="s">
        <v>2994</v>
      </c>
      <c r="C2017" s="19" t="s">
        <v>899</v>
      </c>
      <c r="D2017" s="19" t="s">
        <v>1045</v>
      </c>
      <c r="E2017" s="19" t="s">
        <v>1118</v>
      </c>
      <c r="F2017" s="19">
        <v>0</v>
      </c>
      <c r="G2017" s="43">
        <v>0.14000000000000001</v>
      </c>
    </row>
    <row r="2018" spans="1:7" x14ac:dyDescent="0.3">
      <c r="A2018" s="19">
        <v>1185</v>
      </c>
      <c r="B2018" s="19" t="s">
        <v>2995</v>
      </c>
      <c r="C2018" s="19" t="s">
        <v>899</v>
      </c>
      <c r="D2018" s="19" t="s">
        <v>1045</v>
      </c>
      <c r="E2018" s="19" t="s">
        <v>1118</v>
      </c>
      <c r="F2018" s="19">
        <v>0</v>
      </c>
      <c r="G2018" s="43">
        <v>0.2</v>
      </c>
    </row>
    <row r="2019" spans="1:7" x14ac:dyDescent="0.3">
      <c r="A2019" s="19">
        <v>2033</v>
      </c>
      <c r="B2019" s="19" t="s">
        <v>2996</v>
      </c>
      <c r="C2019" s="19" t="s">
        <v>899</v>
      </c>
      <c r="D2019" s="19" t="s">
        <v>1045</v>
      </c>
      <c r="E2019" s="19" t="s">
        <v>1118</v>
      </c>
      <c r="F2019" s="19">
        <v>0</v>
      </c>
      <c r="G2019" s="43">
        <v>0.12</v>
      </c>
    </row>
    <row r="2020" spans="1:7" x14ac:dyDescent="0.3">
      <c r="A2020" s="19">
        <v>2368</v>
      </c>
      <c r="B2020" s="19" t="s">
        <v>2997</v>
      </c>
      <c r="C2020" s="19" t="s">
        <v>899</v>
      </c>
      <c r="D2020" s="19" t="s">
        <v>1045</v>
      </c>
      <c r="E2020" s="19" t="s">
        <v>1118</v>
      </c>
      <c r="F2020" s="19">
        <v>0</v>
      </c>
      <c r="G2020" s="43">
        <v>0.14000000000000001</v>
      </c>
    </row>
    <row r="2021" spans="1:7" x14ac:dyDescent="0.3">
      <c r="A2021" s="19">
        <v>2032</v>
      </c>
      <c r="B2021" s="19" t="s">
        <v>2998</v>
      </c>
      <c r="C2021" s="19" t="s">
        <v>899</v>
      </c>
      <c r="D2021" s="19" t="s">
        <v>1045</v>
      </c>
      <c r="E2021" s="19" t="s">
        <v>1118</v>
      </c>
      <c r="F2021" s="19">
        <v>0</v>
      </c>
      <c r="G2021" s="43">
        <v>0.12</v>
      </c>
    </row>
    <row r="2022" spans="1:7" x14ac:dyDescent="0.3">
      <c r="A2022" s="19">
        <v>2968</v>
      </c>
      <c r="B2022" s="19" t="s">
        <v>2999</v>
      </c>
      <c r="C2022" s="19" t="s">
        <v>899</v>
      </c>
      <c r="D2022" s="19" t="s">
        <v>1045</v>
      </c>
      <c r="E2022" s="19" t="s">
        <v>1118</v>
      </c>
      <c r="F2022" s="19">
        <v>0</v>
      </c>
      <c r="G2022" s="43">
        <v>0.14000000000000001</v>
      </c>
    </row>
    <row r="2023" spans="1:7" x14ac:dyDescent="0.3">
      <c r="A2023" s="19">
        <v>1305</v>
      </c>
      <c r="B2023" s="19" t="s">
        <v>3000</v>
      </c>
      <c r="C2023" s="19" t="s">
        <v>899</v>
      </c>
      <c r="D2023" s="19" t="s">
        <v>1045</v>
      </c>
      <c r="E2023" s="19" t="s">
        <v>1118</v>
      </c>
      <c r="F2023" s="19">
        <v>0</v>
      </c>
      <c r="G2023" s="43">
        <v>0.12</v>
      </c>
    </row>
    <row r="2024" spans="1:7" x14ac:dyDescent="0.3">
      <c r="A2024" s="19">
        <v>2661</v>
      </c>
      <c r="B2024" s="19" t="s">
        <v>3001</v>
      </c>
      <c r="C2024" s="19" t="s">
        <v>899</v>
      </c>
      <c r="D2024" s="19" t="s">
        <v>1045</v>
      </c>
      <c r="E2024" s="19" t="s">
        <v>1118</v>
      </c>
      <c r="F2024" s="19">
        <v>0</v>
      </c>
      <c r="G2024" s="43">
        <v>0.12</v>
      </c>
    </row>
    <row r="2025" spans="1:7" x14ac:dyDescent="0.3">
      <c r="A2025" s="19">
        <v>1711</v>
      </c>
      <c r="B2025" s="19" t="s">
        <v>3002</v>
      </c>
      <c r="C2025" s="19" t="s">
        <v>899</v>
      </c>
      <c r="D2025" s="19" t="s">
        <v>1045</v>
      </c>
      <c r="E2025" s="19" t="s">
        <v>1118</v>
      </c>
      <c r="F2025" s="19">
        <v>0</v>
      </c>
      <c r="G2025" s="43">
        <v>0.12</v>
      </c>
    </row>
    <row r="2026" spans="1:7" x14ac:dyDescent="0.3">
      <c r="A2026" s="19">
        <v>1712</v>
      </c>
      <c r="B2026" s="19" t="s">
        <v>3003</v>
      </c>
      <c r="C2026" s="19" t="s">
        <v>899</v>
      </c>
      <c r="D2026" s="19" t="s">
        <v>1045</v>
      </c>
      <c r="E2026" s="19" t="s">
        <v>1118</v>
      </c>
      <c r="F2026" s="19">
        <v>0</v>
      </c>
      <c r="G2026" s="43">
        <v>0.12</v>
      </c>
    </row>
    <row r="2027" spans="1:7" x14ac:dyDescent="0.3">
      <c r="A2027" s="19">
        <v>2939</v>
      </c>
      <c r="B2027" s="19" t="s">
        <v>3004</v>
      </c>
      <c r="C2027" s="19" t="s">
        <v>899</v>
      </c>
      <c r="D2027" s="19" t="s">
        <v>1045</v>
      </c>
      <c r="E2027" s="19" t="s">
        <v>1118</v>
      </c>
      <c r="F2027" s="19">
        <v>0</v>
      </c>
      <c r="G2027" s="43">
        <v>0.2</v>
      </c>
    </row>
    <row r="2028" spans="1:7" x14ac:dyDescent="0.3">
      <c r="A2028" s="19">
        <v>2635</v>
      </c>
      <c r="B2028" s="19" t="s">
        <v>3005</v>
      </c>
      <c r="C2028" s="19" t="s">
        <v>899</v>
      </c>
      <c r="D2028" s="19" t="s">
        <v>1045</v>
      </c>
      <c r="E2028" s="19" t="s">
        <v>1118</v>
      </c>
      <c r="F2028" s="19">
        <v>0</v>
      </c>
      <c r="G2028" s="43">
        <v>0.12</v>
      </c>
    </row>
    <row r="2029" spans="1:7" x14ac:dyDescent="0.3">
      <c r="A2029" s="19">
        <v>1710</v>
      </c>
      <c r="B2029" s="19" t="s">
        <v>3006</v>
      </c>
      <c r="C2029" s="19" t="s">
        <v>899</v>
      </c>
      <c r="D2029" s="19" t="s">
        <v>1045</v>
      </c>
      <c r="E2029" s="19" t="s">
        <v>1118</v>
      </c>
      <c r="F2029" s="19">
        <v>0</v>
      </c>
      <c r="G2029" s="43">
        <v>0.12</v>
      </c>
    </row>
    <row r="2030" spans="1:7" x14ac:dyDescent="0.3">
      <c r="A2030" s="19">
        <v>1026</v>
      </c>
      <c r="B2030" s="19" t="s">
        <v>3007</v>
      </c>
      <c r="C2030" s="19" t="s">
        <v>899</v>
      </c>
      <c r="D2030" s="19" t="s">
        <v>1045</v>
      </c>
      <c r="E2030" s="19" t="s">
        <v>1118</v>
      </c>
      <c r="F2030" s="19">
        <v>0</v>
      </c>
      <c r="G2030" s="43">
        <v>0.14000000000000001</v>
      </c>
    </row>
    <row r="2031" spans="1:7" x14ac:dyDescent="0.3">
      <c r="A2031" s="19">
        <v>2659</v>
      </c>
      <c r="B2031" s="19" t="s">
        <v>3008</v>
      </c>
      <c r="C2031" s="19" t="s">
        <v>899</v>
      </c>
      <c r="D2031" s="19" t="s">
        <v>1045</v>
      </c>
      <c r="E2031" s="19" t="s">
        <v>1118</v>
      </c>
      <c r="F2031" s="19">
        <v>0</v>
      </c>
      <c r="G2031" s="43">
        <v>0.12</v>
      </c>
    </row>
    <row r="2032" spans="1:7" x14ac:dyDescent="0.3">
      <c r="A2032" s="19">
        <v>984</v>
      </c>
      <c r="B2032" s="19" t="s">
        <v>3009</v>
      </c>
      <c r="C2032" s="19" t="s">
        <v>899</v>
      </c>
      <c r="D2032" s="19" t="s">
        <v>1045</v>
      </c>
      <c r="E2032" s="19" t="s">
        <v>1118</v>
      </c>
      <c r="F2032" s="19">
        <v>0</v>
      </c>
      <c r="G2032" s="43">
        <v>0.2</v>
      </c>
    </row>
    <row r="2033" spans="1:7" x14ac:dyDescent="0.3">
      <c r="A2033" s="19">
        <v>3074</v>
      </c>
      <c r="B2033" s="19" t="s">
        <v>3010</v>
      </c>
      <c r="C2033" s="19" t="s">
        <v>899</v>
      </c>
      <c r="D2033" s="19" t="s">
        <v>1045</v>
      </c>
      <c r="E2033" s="19" t="s">
        <v>1118</v>
      </c>
      <c r="F2033" s="19">
        <v>0</v>
      </c>
      <c r="G2033" s="43">
        <v>0.12</v>
      </c>
    </row>
    <row r="2034" spans="1:7" x14ac:dyDescent="0.3">
      <c r="A2034" s="19">
        <v>1855</v>
      </c>
      <c r="B2034" s="19" t="s">
        <v>3011</v>
      </c>
      <c r="C2034" s="19" t="s">
        <v>899</v>
      </c>
      <c r="D2034" s="19" t="s">
        <v>1045</v>
      </c>
      <c r="E2034" s="19" t="s">
        <v>1118</v>
      </c>
      <c r="F2034" s="19">
        <v>0</v>
      </c>
      <c r="G2034" s="43">
        <v>0.12</v>
      </c>
    </row>
    <row r="2035" spans="1:7" x14ac:dyDescent="0.3">
      <c r="A2035" s="19">
        <v>1709</v>
      </c>
      <c r="B2035" s="19" t="s">
        <v>3012</v>
      </c>
      <c r="C2035" s="19" t="s">
        <v>899</v>
      </c>
      <c r="D2035" s="19" t="s">
        <v>1045</v>
      </c>
      <c r="E2035" s="19" t="s">
        <v>1118</v>
      </c>
      <c r="F2035" s="19">
        <v>0</v>
      </c>
      <c r="G2035" s="43">
        <v>0.12</v>
      </c>
    </row>
    <row r="2036" spans="1:7" x14ac:dyDescent="0.3">
      <c r="A2036" s="19">
        <v>1193</v>
      </c>
      <c r="B2036" s="19" t="s">
        <v>3013</v>
      </c>
      <c r="C2036" s="19" t="s">
        <v>899</v>
      </c>
      <c r="D2036" s="19" t="s">
        <v>1045</v>
      </c>
      <c r="E2036" s="19" t="s">
        <v>1118</v>
      </c>
      <c r="F2036" s="19">
        <v>0</v>
      </c>
      <c r="G2036" s="43">
        <v>0.12</v>
      </c>
    </row>
    <row r="2037" spans="1:7" x14ac:dyDescent="0.3">
      <c r="A2037" s="19">
        <v>912</v>
      </c>
      <c r="B2037" s="19" t="s">
        <v>3014</v>
      </c>
      <c r="C2037" s="19" t="s">
        <v>899</v>
      </c>
      <c r="D2037" s="19" t="s">
        <v>1045</v>
      </c>
      <c r="E2037" s="19" t="s">
        <v>1118</v>
      </c>
      <c r="F2037" s="19">
        <v>0</v>
      </c>
      <c r="G2037" s="43">
        <v>0.12</v>
      </c>
    </row>
    <row r="2038" spans="1:7" x14ac:dyDescent="0.3">
      <c r="A2038" s="19">
        <v>914</v>
      </c>
      <c r="B2038" s="19" t="s">
        <v>3015</v>
      </c>
      <c r="C2038" s="19" t="s">
        <v>899</v>
      </c>
      <c r="D2038" s="19" t="s">
        <v>1045</v>
      </c>
      <c r="E2038" s="19" t="s">
        <v>1118</v>
      </c>
      <c r="F2038" s="19">
        <v>0</v>
      </c>
      <c r="G2038" s="43">
        <v>0.12</v>
      </c>
    </row>
    <row r="2039" spans="1:7" x14ac:dyDescent="0.3">
      <c r="A2039" s="19">
        <v>913</v>
      </c>
      <c r="B2039" s="19" t="s">
        <v>3016</v>
      </c>
      <c r="C2039" s="19" t="s">
        <v>899</v>
      </c>
      <c r="D2039" s="19" t="s">
        <v>1045</v>
      </c>
      <c r="E2039" s="19" t="s">
        <v>1118</v>
      </c>
      <c r="F2039" s="19">
        <v>0</v>
      </c>
      <c r="G2039" s="43">
        <v>0.12</v>
      </c>
    </row>
    <row r="2040" spans="1:7" x14ac:dyDescent="0.3">
      <c r="A2040" s="19">
        <v>1187</v>
      </c>
      <c r="B2040" s="19" t="s">
        <v>3017</v>
      </c>
      <c r="C2040" s="19" t="s">
        <v>899</v>
      </c>
      <c r="D2040" s="19" t="s">
        <v>1045</v>
      </c>
      <c r="E2040" s="19" t="s">
        <v>1118</v>
      </c>
      <c r="F2040" s="19">
        <v>0</v>
      </c>
      <c r="G2040" s="43">
        <v>0.12</v>
      </c>
    </row>
    <row r="2041" spans="1:7" x14ac:dyDescent="0.3">
      <c r="A2041" s="19">
        <v>1179</v>
      </c>
      <c r="B2041" s="19" t="s">
        <v>3018</v>
      </c>
      <c r="C2041" s="19" t="s">
        <v>899</v>
      </c>
      <c r="D2041" s="19" t="s">
        <v>1045</v>
      </c>
      <c r="E2041" s="19" t="s">
        <v>1118</v>
      </c>
      <c r="F2041" s="19">
        <v>0</v>
      </c>
      <c r="G2041" s="43">
        <v>0.12</v>
      </c>
    </row>
    <row r="2042" spans="1:7" x14ac:dyDescent="0.3">
      <c r="A2042" s="19">
        <v>1195</v>
      </c>
      <c r="B2042" s="19" t="s">
        <v>3019</v>
      </c>
      <c r="C2042" s="19" t="s">
        <v>899</v>
      </c>
      <c r="D2042" s="19" t="s">
        <v>1045</v>
      </c>
      <c r="E2042" s="19" t="s">
        <v>1118</v>
      </c>
      <c r="F2042" s="19">
        <v>0</v>
      </c>
      <c r="G2042" s="43">
        <v>0.12</v>
      </c>
    </row>
    <row r="2043" spans="1:7" x14ac:dyDescent="0.3">
      <c r="A2043" s="19">
        <v>1304</v>
      </c>
      <c r="B2043" s="19" t="s">
        <v>3020</v>
      </c>
      <c r="C2043" s="19" t="s">
        <v>899</v>
      </c>
      <c r="D2043" s="19" t="s">
        <v>1045</v>
      </c>
      <c r="E2043" s="19" t="s">
        <v>1118</v>
      </c>
      <c r="F2043" s="19">
        <v>0</v>
      </c>
      <c r="G2043" s="43">
        <v>0.2</v>
      </c>
    </row>
    <row r="2044" spans="1:7" x14ac:dyDescent="0.3">
      <c r="A2044" s="19">
        <v>2380</v>
      </c>
      <c r="B2044" s="19" t="s">
        <v>3021</v>
      </c>
      <c r="C2044" s="19" t="s">
        <v>899</v>
      </c>
      <c r="D2044" s="19" t="s">
        <v>1045</v>
      </c>
      <c r="E2044" s="19" t="s">
        <v>1118</v>
      </c>
      <c r="F2044" s="19">
        <v>0</v>
      </c>
      <c r="G2044" s="43">
        <v>0.12</v>
      </c>
    </row>
    <row r="2045" spans="1:7" x14ac:dyDescent="0.3">
      <c r="A2045" s="19">
        <v>2951</v>
      </c>
      <c r="B2045" s="19" t="s">
        <v>3022</v>
      </c>
      <c r="C2045" s="19" t="s">
        <v>899</v>
      </c>
      <c r="D2045" s="19" t="s">
        <v>1045</v>
      </c>
      <c r="E2045" s="19" t="s">
        <v>1118</v>
      </c>
      <c r="F2045" s="19">
        <v>0</v>
      </c>
      <c r="G2045" s="43">
        <v>0.12</v>
      </c>
    </row>
    <row r="2046" spans="1:7" x14ac:dyDescent="0.3">
      <c r="A2046" s="19">
        <v>628</v>
      </c>
      <c r="B2046" s="19" t="s">
        <v>3023</v>
      </c>
      <c r="C2046" s="19" t="s">
        <v>899</v>
      </c>
      <c r="D2046" s="19" t="s">
        <v>1045</v>
      </c>
      <c r="E2046" s="19" t="s">
        <v>1118</v>
      </c>
      <c r="F2046" s="19">
        <v>0</v>
      </c>
      <c r="G2046" s="43">
        <v>0.14000000000000001</v>
      </c>
    </row>
    <row r="2047" spans="1:7" x14ac:dyDescent="0.3">
      <c r="A2047" s="19">
        <v>423</v>
      </c>
      <c r="B2047" s="19" t="s">
        <v>3024</v>
      </c>
      <c r="C2047" s="19" t="s">
        <v>899</v>
      </c>
      <c r="D2047" s="19" t="s">
        <v>1045</v>
      </c>
      <c r="E2047" s="19" t="s">
        <v>1118</v>
      </c>
      <c r="F2047" s="19">
        <v>0</v>
      </c>
      <c r="G2047" s="43">
        <v>0.12</v>
      </c>
    </row>
    <row r="2048" spans="1:7" x14ac:dyDescent="0.3">
      <c r="A2048" s="19">
        <v>1854</v>
      </c>
      <c r="B2048" s="19" t="s">
        <v>3025</v>
      </c>
      <c r="C2048" s="19" t="s">
        <v>899</v>
      </c>
      <c r="D2048" s="19" t="s">
        <v>1045</v>
      </c>
      <c r="E2048" s="19" t="s">
        <v>1118</v>
      </c>
      <c r="F2048" s="19">
        <v>0</v>
      </c>
      <c r="G2048" s="43">
        <v>0.12</v>
      </c>
    </row>
    <row r="2049" spans="1:7" x14ac:dyDescent="0.3">
      <c r="A2049" s="19">
        <v>2636</v>
      </c>
      <c r="B2049" s="19" t="s">
        <v>3026</v>
      </c>
      <c r="C2049" s="19" t="s">
        <v>899</v>
      </c>
      <c r="D2049" s="19" t="s">
        <v>1045</v>
      </c>
      <c r="E2049" s="19" t="s">
        <v>1118</v>
      </c>
      <c r="F2049" s="19">
        <v>0</v>
      </c>
      <c r="G2049" s="43">
        <v>0.12</v>
      </c>
    </row>
    <row r="2050" spans="1:7" x14ac:dyDescent="0.3">
      <c r="A2050" s="19">
        <v>2938</v>
      </c>
      <c r="B2050" s="19" t="s">
        <v>3027</v>
      </c>
      <c r="C2050" s="19" t="s">
        <v>899</v>
      </c>
      <c r="D2050" s="19" t="s">
        <v>1045</v>
      </c>
      <c r="E2050" s="19" t="s">
        <v>1118</v>
      </c>
      <c r="F2050" s="19">
        <v>0</v>
      </c>
      <c r="G2050" s="43">
        <v>0.12</v>
      </c>
    </row>
    <row r="2051" spans="1:7" x14ac:dyDescent="0.3">
      <c r="A2051" s="19">
        <v>915</v>
      </c>
      <c r="B2051" s="19" t="s">
        <v>3028</v>
      </c>
      <c r="C2051" s="19" t="s">
        <v>899</v>
      </c>
      <c r="D2051" s="19" t="s">
        <v>1045</v>
      </c>
      <c r="E2051" s="19" t="s">
        <v>1118</v>
      </c>
      <c r="F2051" s="19">
        <v>0</v>
      </c>
      <c r="G2051" s="43">
        <v>0.12</v>
      </c>
    </row>
    <row r="2052" spans="1:7" x14ac:dyDescent="0.3">
      <c r="A2052" s="19">
        <v>2649</v>
      </c>
      <c r="B2052" s="19" t="s">
        <v>3029</v>
      </c>
      <c r="C2052" s="19" t="s">
        <v>899</v>
      </c>
      <c r="D2052" s="19" t="s">
        <v>1045</v>
      </c>
      <c r="E2052" s="19" t="s">
        <v>1118</v>
      </c>
      <c r="F2052" s="19">
        <v>0</v>
      </c>
      <c r="G2052" s="43">
        <v>0.35</v>
      </c>
    </row>
    <row r="2053" spans="1:7" x14ac:dyDescent="0.3">
      <c r="A2053" s="19">
        <v>3614</v>
      </c>
      <c r="B2053" s="19" t="s">
        <v>3030</v>
      </c>
      <c r="C2053" s="19" t="s">
        <v>899</v>
      </c>
      <c r="D2053" s="19" t="s">
        <v>1045</v>
      </c>
      <c r="E2053" s="19" t="s">
        <v>1118</v>
      </c>
      <c r="F2053" s="19">
        <v>0</v>
      </c>
      <c r="G2053" s="43">
        <v>0.2</v>
      </c>
    </row>
    <row r="2054" spans="1:7" x14ac:dyDescent="0.3">
      <c r="A2054" s="19">
        <v>3375</v>
      </c>
      <c r="B2054" s="19" t="s">
        <v>3031</v>
      </c>
      <c r="C2054" s="19" t="s">
        <v>899</v>
      </c>
      <c r="D2054" s="19" t="s">
        <v>1045</v>
      </c>
      <c r="E2054" s="19" t="s">
        <v>1118</v>
      </c>
      <c r="F2054" s="19">
        <v>0</v>
      </c>
      <c r="G2054" s="43">
        <v>0.2</v>
      </c>
    </row>
    <row r="2055" spans="1:7" x14ac:dyDescent="0.3">
      <c r="A2055" s="19">
        <v>2655</v>
      </c>
      <c r="B2055" s="19" t="s">
        <v>3032</v>
      </c>
      <c r="C2055" s="19" t="s">
        <v>899</v>
      </c>
      <c r="D2055" s="19" t="s">
        <v>1045</v>
      </c>
      <c r="E2055" s="19" t="s">
        <v>1118</v>
      </c>
      <c r="F2055" s="19">
        <v>0</v>
      </c>
      <c r="G2055" s="43">
        <v>0.35</v>
      </c>
    </row>
    <row r="2056" spans="1:7" x14ac:dyDescent="0.3">
      <c r="A2056" s="19">
        <v>917</v>
      </c>
      <c r="B2056" s="19" t="s">
        <v>3033</v>
      </c>
      <c r="C2056" s="19" t="s">
        <v>899</v>
      </c>
      <c r="D2056" s="19" t="s">
        <v>1045</v>
      </c>
      <c r="E2056" s="19" t="s">
        <v>1118</v>
      </c>
      <c r="F2056" s="19">
        <v>0</v>
      </c>
      <c r="G2056" s="43">
        <v>0.2</v>
      </c>
    </row>
    <row r="2057" spans="1:7" x14ac:dyDescent="0.3">
      <c r="A2057" s="19">
        <v>916</v>
      </c>
      <c r="B2057" s="19" t="s">
        <v>3034</v>
      </c>
      <c r="C2057" s="19" t="s">
        <v>899</v>
      </c>
      <c r="D2057" s="19" t="s">
        <v>1045</v>
      </c>
      <c r="E2057" s="19" t="s">
        <v>1118</v>
      </c>
      <c r="F2057" s="19">
        <v>0</v>
      </c>
      <c r="G2057" s="43">
        <v>0.12</v>
      </c>
    </row>
    <row r="2058" spans="1:7" x14ac:dyDescent="0.3">
      <c r="A2058" s="19">
        <v>3220</v>
      </c>
      <c r="B2058" s="19" t="s">
        <v>3035</v>
      </c>
      <c r="C2058" s="19" t="s">
        <v>899</v>
      </c>
      <c r="D2058" s="19" t="s">
        <v>1045</v>
      </c>
      <c r="E2058" s="19" t="s">
        <v>1118</v>
      </c>
      <c r="F2058" s="19">
        <v>0</v>
      </c>
      <c r="G2058" s="43">
        <v>0.12</v>
      </c>
    </row>
    <row r="2059" spans="1:7" x14ac:dyDescent="0.3">
      <c r="A2059" s="19">
        <v>3152</v>
      </c>
      <c r="B2059" s="19" t="s">
        <v>3036</v>
      </c>
      <c r="C2059" s="19" t="s">
        <v>899</v>
      </c>
      <c r="D2059" s="19" t="s">
        <v>1045</v>
      </c>
      <c r="E2059" s="19" t="s">
        <v>1118</v>
      </c>
      <c r="F2059" s="19">
        <v>0</v>
      </c>
      <c r="G2059" s="43">
        <v>0.2</v>
      </c>
    </row>
    <row r="2060" spans="1:7" x14ac:dyDescent="0.3">
      <c r="A2060" s="19">
        <v>918</v>
      </c>
      <c r="B2060" s="19" t="s">
        <v>3037</v>
      </c>
      <c r="C2060" s="19" t="s">
        <v>899</v>
      </c>
      <c r="D2060" s="19" t="s">
        <v>1045</v>
      </c>
      <c r="E2060" s="19" t="s">
        <v>1118</v>
      </c>
      <c r="F2060" s="19">
        <v>0</v>
      </c>
      <c r="G2060" s="43">
        <v>0.12</v>
      </c>
    </row>
    <row r="2061" spans="1:7" x14ac:dyDescent="0.3">
      <c r="A2061" s="19">
        <v>2371</v>
      </c>
      <c r="B2061" s="19" t="s">
        <v>3038</v>
      </c>
      <c r="C2061" s="19" t="s">
        <v>899</v>
      </c>
      <c r="D2061" s="19" t="s">
        <v>1045</v>
      </c>
      <c r="E2061" s="19" t="s">
        <v>1118</v>
      </c>
      <c r="F2061" s="19">
        <v>0</v>
      </c>
      <c r="G2061" s="43">
        <v>0.12</v>
      </c>
    </row>
    <row r="2062" spans="1:7" x14ac:dyDescent="0.3">
      <c r="A2062" s="19">
        <v>2994</v>
      </c>
      <c r="B2062" s="19" t="s">
        <v>3039</v>
      </c>
      <c r="C2062" s="19" t="s">
        <v>899</v>
      </c>
      <c r="D2062" s="19" t="s">
        <v>1045</v>
      </c>
      <c r="E2062" s="19" t="s">
        <v>1118</v>
      </c>
      <c r="F2062" s="19">
        <v>0</v>
      </c>
      <c r="G2062" s="43">
        <v>0.12</v>
      </c>
    </row>
    <row r="2063" spans="1:7" x14ac:dyDescent="0.3">
      <c r="A2063" s="19">
        <v>919</v>
      </c>
      <c r="B2063" s="19" t="s">
        <v>3040</v>
      </c>
      <c r="C2063" s="19" t="s">
        <v>899</v>
      </c>
      <c r="D2063" s="19" t="s">
        <v>1045</v>
      </c>
      <c r="E2063" s="19" t="s">
        <v>1118</v>
      </c>
      <c r="F2063" s="19">
        <v>0</v>
      </c>
      <c r="G2063" s="43">
        <v>0.12</v>
      </c>
    </row>
    <row r="2064" spans="1:7" x14ac:dyDescent="0.3">
      <c r="A2064" s="19">
        <v>2782</v>
      </c>
      <c r="B2064" s="19" t="s">
        <v>3041</v>
      </c>
      <c r="C2064" s="19" t="s">
        <v>899</v>
      </c>
      <c r="D2064" s="19" t="s">
        <v>1045</v>
      </c>
      <c r="E2064" s="19" t="s">
        <v>1118</v>
      </c>
      <c r="F2064" s="19">
        <v>0</v>
      </c>
      <c r="G2064" s="43">
        <v>0.12</v>
      </c>
    </row>
    <row r="2065" spans="1:7" x14ac:dyDescent="0.3">
      <c r="A2065" s="19">
        <v>2734</v>
      </c>
      <c r="B2065" s="19" t="s">
        <v>3042</v>
      </c>
      <c r="C2065" s="19" t="s">
        <v>899</v>
      </c>
      <c r="D2065" s="19" t="s">
        <v>1045</v>
      </c>
      <c r="E2065" s="19" t="s">
        <v>1118</v>
      </c>
      <c r="F2065" s="19">
        <v>0</v>
      </c>
      <c r="G2065" s="43">
        <v>0.12</v>
      </c>
    </row>
    <row r="2066" spans="1:7" x14ac:dyDescent="0.3">
      <c r="A2066" s="19">
        <v>2769</v>
      </c>
      <c r="B2066" s="19" t="s">
        <v>3043</v>
      </c>
      <c r="C2066" s="19" t="s">
        <v>899</v>
      </c>
      <c r="D2066" s="19" t="s">
        <v>1045</v>
      </c>
      <c r="E2066" s="19" t="s">
        <v>1118</v>
      </c>
      <c r="F2066" s="19">
        <v>0</v>
      </c>
      <c r="G2066" s="43">
        <v>0.12</v>
      </c>
    </row>
    <row r="2067" spans="1:7" x14ac:dyDescent="0.3">
      <c r="A2067" s="19">
        <v>2736</v>
      </c>
      <c r="B2067" s="19" t="s">
        <v>3044</v>
      </c>
      <c r="C2067" s="19" t="s">
        <v>899</v>
      </c>
      <c r="D2067" s="19" t="s">
        <v>1045</v>
      </c>
      <c r="E2067" s="19" t="s">
        <v>1118</v>
      </c>
      <c r="F2067" s="19">
        <v>0</v>
      </c>
      <c r="G2067" s="43">
        <v>0.12</v>
      </c>
    </row>
    <row r="2068" spans="1:7" x14ac:dyDescent="0.3">
      <c r="A2068" s="19">
        <v>601</v>
      </c>
      <c r="B2068" s="19" t="s">
        <v>3045</v>
      </c>
      <c r="C2068" s="19" t="s">
        <v>899</v>
      </c>
      <c r="D2068" s="19" t="s">
        <v>1045</v>
      </c>
      <c r="E2068" s="19" t="s">
        <v>1118</v>
      </c>
      <c r="F2068" s="19">
        <v>0</v>
      </c>
      <c r="G2068" s="43">
        <v>0.2</v>
      </c>
    </row>
    <row r="2069" spans="1:7" x14ac:dyDescent="0.3">
      <c r="A2069" s="19">
        <v>2276</v>
      </c>
      <c r="B2069" s="19" t="s">
        <v>3046</v>
      </c>
      <c r="C2069" s="19" t="s">
        <v>899</v>
      </c>
      <c r="D2069" s="19" t="s">
        <v>1045</v>
      </c>
      <c r="E2069" s="19" t="s">
        <v>1118</v>
      </c>
      <c r="F2069" s="19">
        <v>0</v>
      </c>
      <c r="G2069" s="43">
        <v>0.12</v>
      </c>
    </row>
    <row r="2070" spans="1:7" x14ac:dyDescent="0.3">
      <c r="A2070" s="19">
        <v>920</v>
      </c>
      <c r="B2070" s="19" t="s">
        <v>3047</v>
      </c>
      <c r="C2070" s="19" t="s">
        <v>899</v>
      </c>
      <c r="D2070" s="19" t="s">
        <v>1045</v>
      </c>
      <c r="E2070" s="19" t="s">
        <v>1118</v>
      </c>
      <c r="F2070" s="19">
        <v>0</v>
      </c>
      <c r="G2070" s="43">
        <v>0.12</v>
      </c>
    </row>
    <row r="2071" spans="1:7" x14ac:dyDescent="0.3">
      <c r="A2071" s="19">
        <v>2278</v>
      </c>
      <c r="B2071" s="19" t="s">
        <v>3048</v>
      </c>
      <c r="C2071" s="19" t="s">
        <v>899</v>
      </c>
      <c r="D2071" s="19" t="s">
        <v>1045</v>
      </c>
      <c r="E2071" s="19" t="s">
        <v>1118</v>
      </c>
      <c r="F2071" s="19">
        <v>0</v>
      </c>
      <c r="G2071" s="43">
        <v>0.12</v>
      </c>
    </row>
    <row r="2072" spans="1:7" x14ac:dyDescent="0.3">
      <c r="A2072" s="19">
        <v>1027</v>
      </c>
      <c r="B2072" s="19" t="s">
        <v>3049</v>
      </c>
      <c r="C2072" s="19" t="s">
        <v>899</v>
      </c>
      <c r="D2072" s="19" t="s">
        <v>1045</v>
      </c>
      <c r="E2072" s="19" t="s">
        <v>1118</v>
      </c>
      <c r="F2072" s="19">
        <v>0</v>
      </c>
      <c r="G2072" s="43">
        <v>0.12</v>
      </c>
    </row>
    <row r="2073" spans="1:7" x14ac:dyDescent="0.3">
      <c r="A2073" s="19">
        <v>1181</v>
      </c>
      <c r="B2073" s="19" t="s">
        <v>3050</v>
      </c>
      <c r="C2073" s="19" t="s">
        <v>899</v>
      </c>
      <c r="D2073" s="19" t="s">
        <v>1045</v>
      </c>
      <c r="E2073" s="19" t="s">
        <v>1118</v>
      </c>
      <c r="F2073" s="19">
        <v>0</v>
      </c>
      <c r="G2073" s="43">
        <v>0.12</v>
      </c>
    </row>
    <row r="2074" spans="1:7" x14ac:dyDescent="0.3">
      <c r="A2074" s="19">
        <v>1691</v>
      </c>
      <c r="B2074" s="19" t="s">
        <v>3051</v>
      </c>
      <c r="C2074" s="19" t="s">
        <v>899</v>
      </c>
      <c r="D2074" s="19" t="s">
        <v>1045</v>
      </c>
      <c r="E2074" s="19" t="s">
        <v>1118</v>
      </c>
      <c r="F2074" s="19">
        <v>0</v>
      </c>
      <c r="G2074" s="43">
        <v>0.12</v>
      </c>
    </row>
    <row r="2075" spans="1:7" x14ac:dyDescent="0.3">
      <c r="A2075" s="19">
        <v>2280</v>
      </c>
      <c r="B2075" s="19" t="s">
        <v>3052</v>
      </c>
      <c r="C2075" s="19" t="s">
        <v>899</v>
      </c>
      <c r="D2075" s="19" t="s">
        <v>1045</v>
      </c>
      <c r="E2075" s="19" t="s">
        <v>1118</v>
      </c>
      <c r="F2075" s="19">
        <v>0</v>
      </c>
      <c r="G2075" s="43">
        <v>0.12</v>
      </c>
    </row>
    <row r="2076" spans="1:7" x14ac:dyDescent="0.3">
      <c r="A2076" s="19">
        <v>3381</v>
      </c>
      <c r="B2076" s="19" t="s">
        <v>3053</v>
      </c>
      <c r="C2076" s="19" t="s">
        <v>899</v>
      </c>
      <c r="D2076" s="19" t="s">
        <v>1045</v>
      </c>
      <c r="E2076" s="19" t="s">
        <v>1118</v>
      </c>
      <c r="F2076" s="19">
        <v>0</v>
      </c>
      <c r="G2076" s="43">
        <v>0.2</v>
      </c>
    </row>
    <row r="2077" spans="1:7" x14ac:dyDescent="0.3">
      <c r="A2077" s="19">
        <v>3683</v>
      </c>
      <c r="B2077" s="19" t="s">
        <v>3054</v>
      </c>
      <c r="C2077" s="19" t="s">
        <v>899</v>
      </c>
      <c r="D2077" s="19" t="s">
        <v>1045</v>
      </c>
      <c r="E2077" s="19" t="s">
        <v>1118</v>
      </c>
      <c r="F2077" s="19">
        <v>0</v>
      </c>
      <c r="G2077" s="43">
        <v>0.22</v>
      </c>
    </row>
    <row r="2078" spans="1:7" x14ac:dyDescent="0.3">
      <c r="A2078" s="19">
        <v>605</v>
      </c>
      <c r="B2078" s="19" t="s">
        <v>3055</v>
      </c>
      <c r="C2078" s="19" t="s">
        <v>899</v>
      </c>
      <c r="D2078" s="19" t="s">
        <v>1045</v>
      </c>
      <c r="E2078" s="19" t="s">
        <v>1118</v>
      </c>
      <c r="F2078" s="19">
        <v>0</v>
      </c>
      <c r="G2078" s="43">
        <v>0.13</v>
      </c>
    </row>
    <row r="2079" spans="1:7" x14ac:dyDescent="0.3">
      <c r="A2079" s="19">
        <v>921</v>
      </c>
      <c r="B2079" s="19" t="s">
        <v>3056</v>
      </c>
      <c r="C2079" s="19" t="s">
        <v>899</v>
      </c>
      <c r="D2079" s="19" t="s">
        <v>1045</v>
      </c>
      <c r="E2079" s="19" t="s">
        <v>1118</v>
      </c>
      <c r="F2079" s="19">
        <v>0</v>
      </c>
      <c r="G2079" s="43">
        <v>0.2</v>
      </c>
    </row>
    <row r="2080" spans="1:7" x14ac:dyDescent="0.3">
      <c r="A2080" s="19">
        <v>985</v>
      </c>
      <c r="B2080" s="19" t="s">
        <v>3057</v>
      </c>
      <c r="C2080" s="19" t="s">
        <v>899</v>
      </c>
      <c r="D2080" s="19" t="s">
        <v>1045</v>
      </c>
      <c r="E2080" s="19" t="s">
        <v>1118</v>
      </c>
      <c r="F2080" s="19">
        <v>0</v>
      </c>
      <c r="G2080" s="43">
        <v>0.2</v>
      </c>
    </row>
    <row r="2081" spans="1:7" x14ac:dyDescent="0.3">
      <c r="A2081" s="19">
        <v>987</v>
      </c>
      <c r="B2081" s="19" t="s">
        <v>3058</v>
      </c>
      <c r="C2081" s="19" t="s">
        <v>899</v>
      </c>
      <c r="D2081" s="19" t="s">
        <v>1045</v>
      </c>
      <c r="E2081" s="19" t="s">
        <v>1118</v>
      </c>
      <c r="F2081" s="19">
        <v>0</v>
      </c>
      <c r="G2081" s="43">
        <v>0.2</v>
      </c>
    </row>
    <row r="2082" spans="1:7" x14ac:dyDescent="0.3">
      <c r="A2082" s="19">
        <v>1028</v>
      </c>
      <c r="B2082" s="19" t="s">
        <v>3059</v>
      </c>
      <c r="C2082" s="19" t="s">
        <v>899</v>
      </c>
      <c r="D2082" s="19" t="s">
        <v>1045</v>
      </c>
      <c r="E2082" s="19" t="s">
        <v>1118</v>
      </c>
      <c r="F2082" s="19">
        <v>0</v>
      </c>
      <c r="G2082" s="43">
        <v>0.12</v>
      </c>
    </row>
    <row r="2083" spans="1:7" x14ac:dyDescent="0.3">
      <c r="A2083" s="19">
        <v>2373</v>
      </c>
      <c r="B2083" s="19" t="s">
        <v>3060</v>
      </c>
      <c r="C2083" s="19" t="s">
        <v>899</v>
      </c>
      <c r="D2083" s="19" t="s">
        <v>1045</v>
      </c>
      <c r="E2083" s="19" t="s">
        <v>1118</v>
      </c>
      <c r="F2083" s="19">
        <v>0</v>
      </c>
      <c r="G2083" s="43">
        <v>0.14000000000000001</v>
      </c>
    </row>
    <row r="2084" spans="1:7" x14ac:dyDescent="0.3">
      <c r="A2084" s="19">
        <v>2654</v>
      </c>
      <c r="B2084" s="19" t="s">
        <v>3061</v>
      </c>
      <c r="C2084" s="19" t="s">
        <v>899</v>
      </c>
      <c r="D2084" s="19" t="s">
        <v>1045</v>
      </c>
      <c r="E2084" s="19" t="s">
        <v>1118</v>
      </c>
      <c r="F2084" s="19">
        <v>0</v>
      </c>
      <c r="G2084" s="43">
        <v>0.35</v>
      </c>
    </row>
    <row r="2085" spans="1:7" x14ac:dyDescent="0.3">
      <c r="A2085" s="19">
        <v>986</v>
      </c>
      <c r="B2085" s="19" t="s">
        <v>3062</v>
      </c>
      <c r="C2085" s="19" t="s">
        <v>899</v>
      </c>
      <c r="D2085" s="19" t="s">
        <v>1045</v>
      </c>
      <c r="E2085" s="19" t="s">
        <v>1118</v>
      </c>
      <c r="F2085" s="19">
        <v>0</v>
      </c>
      <c r="G2085" s="43">
        <v>0.12</v>
      </c>
    </row>
    <row r="2086" spans="1:7" x14ac:dyDescent="0.3">
      <c r="A2086" s="19">
        <v>3663</v>
      </c>
      <c r="B2086" s="19" t="s">
        <v>3063</v>
      </c>
      <c r="C2086" s="19" t="s">
        <v>899</v>
      </c>
      <c r="D2086" s="19" t="s">
        <v>1045</v>
      </c>
      <c r="E2086" s="19" t="s">
        <v>1118</v>
      </c>
      <c r="F2086" s="19">
        <v>0</v>
      </c>
      <c r="G2086" s="43">
        <v>0.2</v>
      </c>
    </row>
    <row r="2087" spans="1:7" x14ac:dyDescent="0.3">
      <c r="A2087" s="19">
        <v>3718</v>
      </c>
      <c r="B2087" s="19" t="s">
        <v>3064</v>
      </c>
      <c r="C2087" s="19" t="s">
        <v>899</v>
      </c>
      <c r="D2087" s="19" t="s">
        <v>1045</v>
      </c>
      <c r="E2087" s="19" t="s">
        <v>1118</v>
      </c>
      <c r="F2087" s="19">
        <v>0</v>
      </c>
      <c r="G2087" s="43">
        <v>0.2</v>
      </c>
    </row>
    <row r="2088" spans="1:7" x14ac:dyDescent="0.3">
      <c r="A2088" s="19">
        <v>3739</v>
      </c>
      <c r="B2088" s="19" t="s">
        <v>3065</v>
      </c>
      <c r="C2088" s="19" t="s">
        <v>899</v>
      </c>
      <c r="D2088" s="19" t="s">
        <v>1045</v>
      </c>
      <c r="E2088" s="19" t="s">
        <v>1118</v>
      </c>
      <c r="F2088" s="19">
        <v>0</v>
      </c>
      <c r="G2088" s="43">
        <v>0.2</v>
      </c>
    </row>
    <row r="2089" spans="1:7" x14ac:dyDescent="0.3">
      <c r="A2089" s="19">
        <v>3075</v>
      </c>
      <c r="B2089" s="19" t="s">
        <v>3066</v>
      </c>
      <c r="C2089" s="19" t="s">
        <v>899</v>
      </c>
      <c r="D2089" s="19" t="s">
        <v>1045</v>
      </c>
      <c r="E2089" s="19" t="s">
        <v>1118</v>
      </c>
      <c r="F2089" s="19">
        <v>0</v>
      </c>
      <c r="G2089" s="43">
        <v>0.12</v>
      </c>
    </row>
    <row r="2090" spans="1:7" x14ac:dyDescent="0.3">
      <c r="A2090" s="19">
        <v>2937</v>
      </c>
      <c r="B2090" s="19" t="s">
        <v>3067</v>
      </c>
      <c r="C2090" s="19" t="s">
        <v>899</v>
      </c>
      <c r="D2090" s="19" t="s">
        <v>1045</v>
      </c>
      <c r="E2090" s="19" t="s">
        <v>1118</v>
      </c>
      <c r="F2090" s="19">
        <v>0</v>
      </c>
      <c r="G2090" s="43">
        <v>0.12</v>
      </c>
    </row>
    <row r="2091" spans="1:7" x14ac:dyDescent="0.3">
      <c r="A2091" s="19">
        <v>2283</v>
      </c>
      <c r="B2091" s="19" t="s">
        <v>3068</v>
      </c>
      <c r="C2091" s="19" t="s">
        <v>899</v>
      </c>
      <c r="D2091" s="19" t="s">
        <v>1045</v>
      </c>
      <c r="E2091" s="19" t="s">
        <v>1118</v>
      </c>
      <c r="F2091" s="19">
        <v>0</v>
      </c>
      <c r="G2091" s="43">
        <v>0.14000000000000001</v>
      </c>
    </row>
    <row r="2092" spans="1:7" x14ac:dyDescent="0.3">
      <c r="A2092" s="19">
        <v>1654</v>
      </c>
      <c r="B2092" s="19" t="s">
        <v>3069</v>
      </c>
      <c r="C2092" s="19" t="s">
        <v>899</v>
      </c>
      <c r="D2092" s="19" t="s">
        <v>1045</v>
      </c>
      <c r="E2092" s="19" t="s">
        <v>1118</v>
      </c>
      <c r="F2092" s="19">
        <v>0</v>
      </c>
      <c r="G2092" s="43">
        <v>0.12</v>
      </c>
    </row>
    <row r="2093" spans="1:7" x14ac:dyDescent="0.3">
      <c r="A2093" s="19">
        <v>1655</v>
      </c>
      <c r="B2093" s="19" t="s">
        <v>3070</v>
      </c>
      <c r="C2093" s="19" t="s">
        <v>899</v>
      </c>
      <c r="D2093" s="19" t="s">
        <v>1045</v>
      </c>
      <c r="E2093" s="19" t="s">
        <v>1118</v>
      </c>
      <c r="F2093" s="19">
        <v>0</v>
      </c>
      <c r="G2093" s="43">
        <v>0.12</v>
      </c>
    </row>
    <row r="2094" spans="1:7" x14ac:dyDescent="0.3">
      <c r="A2094" s="19">
        <v>1658</v>
      </c>
      <c r="B2094" s="19" t="s">
        <v>3071</v>
      </c>
      <c r="C2094" s="19" t="s">
        <v>899</v>
      </c>
      <c r="D2094" s="19" t="s">
        <v>1045</v>
      </c>
      <c r="E2094" s="19" t="s">
        <v>1118</v>
      </c>
      <c r="F2094" s="19">
        <v>0</v>
      </c>
      <c r="G2094" s="43">
        <v>0.12</v>
      </c>
    </row>
    <row r="2095" spans="1:7" x14ac:dyDescent="0.3">
      <c r="A2095" s="19">
        <v>1659</v>
      </c>
      <c r="B2095" s="19" t="s">
        <v>3072</v>
      </c>
      <c r="C2095" s="19" t="s">
        <v>899</v>
      </c>
      <c r="D2095" s="19" t="s">
        <v>1045</v>
      </c>
      <c r="E2095" s="19" t="s">
        <v>1118</v>
      </c>
      <c r="F2095" s="19">
        <v>0</v>
      </c>
      <c r="G2095" s="43">
        <v>0.12</v>
      </c>
    </row>
    <row r="2096" spans="1:7" x14ac:dyDescent="0.3">
      <c r="A2096" s="19">
        <v>1660</v>
      </c>
      <c r="B2096" s="19" t="s">
        <v>3073</v>
      </c>
      <c r="C2096" s="19" t="s">
        <v>899</v>
      </c>
      <c r="D2096" s="19" t="s">
        <v>1045</v>
      </c>
      <c r="E2096" s="19" t="s">
        <v>1118</v>
      </c>
      <c r="F2096" s="19">
        <v>0</v>
      </c>
      <c r="G2096" s="43">
        <v>0.12</v>
      </c>
    </row>
    <row r="2097" spans="1:7" x14ac:dyDescent="0.3">
      <c r="A2097" s="19">
        <v>3383</v>
      </c>
      <c r="B2097" s="19" t="s">
        <v>3074</v>
      </c>
      <c r="C2097" s="19" t="s">
        <v>899</v>
      </c>
      <c r="D2097" s="19" t="s">
        <v>1045</v>
      </c>
      <c r="E2097" s="19" t="s">
        <v>1118</v>
      </c>
      <c r="F2097" s="19">
        <v>0</v>
      </c>
      <c r="G2097" s="43">
        <v>0.2</v>
      </c>
    </row>
    <row r="2098" spans="1:7" x14ac:dyDescent="0.3">
      <c r="A2098" s="19">
        <v>2660</v>
      </c>
      <c r="B2098" s="19" t="s">
        <v>3075</v>
      </c>
      <c r="C2098" s="19" t="s">
        <v>899</v>
      </c>
      <c r="D2098" s="19" t="s">
        <v>1045</v>
      </c>
      <c r="E2098" s="19" t="s">
        <v>1118</v>
      </c>
      <c r="F2098" s="19">
        <v>0</v>
      </c>
      <c r="G2098" s="43">
        <v>0.12</v>
      </c>
    </row>
    <row r="2099" spans="1:7" x14ac:dyDescent="0.3">
      <c r="A2099" s="19">
        <v>1309</v>
      </c>
      <c r="B2099" s="19" t="s">
        <v>3076</v>
      </c>
      <c r="C2099" s="19" t="s">
        <v>899</v>
      </c>
      <c r="D2099" s="19" t="s">
        <v>1045</v>
      </c>
      <c r="E2099" s="19" t="s">
        <v>1118</v>
      </c>
      <c r="F2099" s="19">
        <v>0</v>
      </c>
      <c r="G2099" s="43">
        <v>0.12</v>
      </c>
    </row>
    <row r="2100" spans="1:7" x14ac:dyDescent="0.3">
      <c r="A2100" s="19">
        <v>2285</v>
      </c>
      <c r="B2100" s="19" t="s">
        <v>3077</v>
      </c>
      <c r="C2100" s="19" t="s">
        <v>899</v>
      </c>
      <c r="D2100" s="19" t="s">
        <v>1045</v>
      </c>
      <c r="E2100" s="19" t="s">
        <v>1118</v>
      </c>
      <c r="F2100" s="19">
        <v>0</v>
      </c>
      <c r="G2100" s="43">
        <v>0.12</v>
      </c>
    </row>
    <row r="2101" spans="1:7" x14ac:dyDescent="0.3">
      <c r="A2101" s="19">
        <v>2286</v>
      </c>
      <c r="B2101" s="19" t="s">
        <v>3078</v>
      </c>
      <c r="C2101" s="19" t="s">
        <v>899</v>
      </c>
      <c r="D2101" s="19" t="s">
        <v>1045</v>
      </c>
      <c r="E2101" s="19" t="s">
        <v>1118</v>
      </c>
      <c r="F2101" s="19">
        <v>0</v>
      </c>
      <c r="G2101" s="43">
        <v>0.12</v>
      </c>
    </row>
    <row r="2102" spans="1:7" x14ac:dyDescent="0.3">
      <c r="A2102" s="19">
        <v>1653</v>
      </c>
      <c r="B2102" s="19" t="s">
        <v>3079</v>
      </c>
      <c r="C2102" s="19" t="s">
        <v>899</v>
      </c>
      <c r="D2102" s="19" t="s">
        <v>1045</v>
      </c>
      <c r="E2102" s="19" t="s">
        <v>1118</v>
      </c>
      <c r="F2102" s="19">
        <v>0</v>
      </c>
      <c r="G2102" s="43">
        <v>0.12</v>
      </c>
    </row>
    <row r="2103" spans="1:7" x14ac:dyDescent="0.3">
      <c r="A2103" s="19">
        <v>1708</v>
      </c>
      <c r="B2103" s="19" t="s">
        <v>3080</v>
      </c>
      <c r="C2103" s="19" t="s">
        <v>899</v>
      </c>
      <c r="D2103" s="19" t="s">
        <v>1045</v>
      </c>
      <c r="E2103" s="19" t="s">
        <v>1118</v>
      </c>
      <c r="F2103" s="19">
        <v>0</v>
      </c>
      <c r="G2103" s="43">
        <v>0.2</v>
      </c>
    </row>
    <row r="2104" spans="1:7" x14ac:dyDescent="0.3">
      <c r="A2104" s="19">
        <v>587</v>
      </c>
      <c r="B2104" s="19" t="s">
        <v>3081</v>
      </c>
      <c r="C2104" s="19" t="s">
        <v>899</v>
      </c>
      <c r="D2104" s="19" t="s">
        <v>1045</v>
      </c>
      <c r="E2104" s="19" t="s">
        <v>1118</v>
      </c>
      <c r="F2104" s="19">
        <v>0</v>
      </c>
      <c r="G2104" s="43">
        <v>0.2</v>
      </c>
    </row>
    <row r="2105" spans="1:7" x14ac:dyDescent="0.3">
      <c r="A2105" s="19">
        <v>2913</v>
      </c>
      <c r="B2105" s="19" t="s">
        <v>3082</v>
      </c>
      <c r="C2105" s="19" t="s">
        <v>899</v>
      </c>
      <c r="D2105" s="19" t="s">
        <v>1045</v>
      </c>
      <c r="E2105" s="19" t="s">
        <v>1118</v>
      </c>
      <c r="F2105" s="19">
        <v>0</v>
      </c>
      <c r="G2105" s="43">
        <v>0.12</v>
      </c>
    </row>
    <row r="2106" spans="1:7" x14ac:dyDescent="0.3">
      <c r="A2106" s="19">
        <v>2289</v>
      </c>
      <c r="B2106" s="19" t="s">
        <v>3083</v>
      </c>
      <c r="C2106" s="19" t="s">
        <v>899</v>
      </c>
      <c r="D2106" s="19" t="s">
        <v>1045</v>
      </c>
      <c r="E2106" s="19" t="s">
        <v>1118</v>
      </c>
      <c r="F2106" s="19">
        <v>0</v>
      </c>
      <c r="G2106" s="43">
        <v>0.12</v>
      </c>
    </row>
    <row r="2107" spans="1:7" x14ac:dyDescent="0.3">
      <c r="A2107" s="19">
        <v>1656</v>
      </c>
      <c r="B2107" s="19" t="s">
        <v>3084</v>
      </c>
      <c r="C2107" s="19" t="s">
        <v>899</v>
      </c>
      <c r="D2107" s="19" t="s">
        <v>1045</v>
      </c>
      <c r="E2107" s="19" t="s">
        <v>1118</v>
      </c>
      <c r="F2107" s="19">
        <v>0</v>
      </c>
      <c r="G2107" s="43">
        <v>0.2</v>
      </c>
    </row>
    <row r="2108" spans="1:7" x14ac:dyDescent="0.3">
      <c r="A2108" s="19">
        <v>1657</v>
      </c>
      <c r="B2108" s="19" t="s">
        <v>3085</v>
      </c>
      <c r="C2108" s="19" t="s">
        <v>899</v>
      </c>
      <c r="D2108" s="19" t="s">
        <v>1045</v>
      </c>
      <c r="E2108" s="19" t="s">
        <v>1118</v>
      </c>
      <c r="F2108" s="19">
        <v>0</v>
      </c>
      <c r="G2108" s="43">
        <v>0.12</v>
      </c>
    </row>
    <row r="2109" spans="1:7" x14ac:dyDescent="0.3">
      <c r="A2109" s="19">
        <v>3347</v>
      </c>
      <c r="B2109" s="19" t="s">
        <v>3086</v>
      </c>
      <c r="C2109" s="19" t="s">
        <v>899</v>
      </c>
      <c r="D2109" s="19" t="s">
        <v>1045</v>
      </c>
      <c r="E2109" s="19" t="s">
        <v>1118</v>
      </c>
      <c r="F2109" s="19">
        <v>0</v>
      </c>
      <c r="G2109" s="43">
        <v>0.12</v>
      </c>
    </row>
    <row r="2110" spans="1:7" x14ac:dyDescent="0.3">
      <c r="A2110" s="19">
        <v>847</v>
      </c>
      <c r="B2110" s="19" t="s">
        <v>3087</v>
      </c>
      <c r="C2110" s="19" t="s">
        <v>899</v>
      </c>
      <c r="D2110" s="19" t="s">
        <v>1045</v>
      </c>
      <c r="E2110" s="19" t="s">
        <v>1118</v>
      </c>
      <c r="F2110" s="19">
        <v>0</v>
      </c>
      <c r="G2110" s="43">
        <v>0.12</v>
      </c>
    </row>
    <row r="2111" spans="1:7" x14ac:dyDescent="0.3">
      <c r="A2111" s="19">
        <v>1692</v>
      </c>
      <c r="B2111" s="19" t="s">
        <v>3088</v>
      </c>
      <c r="C2111" s="19" t="s">
        <v>899</v>
      </c>
      <c r="D2111" s="19" t="s">
        <v>1045</v>
      </c>
      <c r="E2111" s="19" t="s">
        <v>1118</v>
      </c>
      <c r="F2111" s="19">
        <v>0</v>
      </c>
      <c r="G2111" s="43">
        <v>0.12</v>
      </c>
    </row>
    <row r="2112" spans="1:7" x14ac:dyDescent="0.3">
      <c r="A2112" s="19">
        <v>2621</v>
      </c>
      <c r="B2112" s="19" t="s">
        <v>3089</v>
      </c>
      <c r="C2112" s="19" t="s">
        <v>899</v>
      </c>
      <c r="D2112" s="19" t="s">
        <v>1045</v>
      </c>
      <c r="E2112" s="19" t="s">
        <v>1118</v>
      </c>
      <c r="F2112" s="19">
        <v>0</v>
      </c>
      <c r="G2112" s="43">
        <v>0.15</v>
      </c>
    </row>
    <row r="2113" spans="1:7" x14ac:dyDescent="0.3">
      <c r="A2113" s="19">
        <v>2638</v>
      </c>
      <c r="B2113" s="19" t="s">
        <v>3090</v>
      </c>
      <c r="C2113" s="19" t="s">
        <v>899</v>
      </c>
      <c r="D2113" s="19" t="s">
        <v>1045</v>
      </c>
      <c r="E2113" s="19" t="s">
        <v>1118</v>
      </c>
      <c r="F2113" s="19">
        <v>0</v>
      </c>
      <c r="G2113" s="43">
        <v>0.35</v>
      </c>
    </row>
    <row r="2114" spans="1:7" x14ac:dyDescent="0.3">
      <c r="A2114" s="19">
        <v>2639</v>
      </c>
      <c r="B2114" s="19" t="s">
        <v>3091</v>
      </c>
      <c r="C2114" s="19" t="s">
        <v>899</v>
      </c>
      <c r="D2114" s="19" t="s">
        <v>1045</v>
      </c>
      <c r="E2114" s="19" t="s">
        <v>1118</v>
      </c>
      <c r="F2114" s="19">
        <v>0</v>
      </c>
      <c r="G2114" s="43">
        <v>0.35</v>
      </c>
    </row>
    <row r="2115" spans="1:7" x14ac:dyDescent="0.3">
      <c r="A2115" s="19">
        <v>1661</v>
      </c>
      <c r="B2115" s="19" t="s">
        <v>3092</v>
      </c>
      <c r="C2115" s="19" t="s">
        <v>899</v>
      </c>
      <c r="D2115" s="19" t="s">
        <v>1045</v>
      </c>
      <c r="E2115" s="19" t="s">
        <v>1118</v>
      </c>
      <c r="F2115" s="19">
        <v>0</v>
      </c>
      <c r="G2115" s="43">
        <v>0.12</v>
      </c>
    </row>
    <row r="2116" spans="1:7" x14ac:dyDescent="0.3">
      <c r="A2116" s="19">
        <v>1662</v>
      </c>
      <c r="B2116" s="19" t="s">
        <v>3093</v>
      </c>
      <c r="C2116" s="19" t="s">
        <v>899</v>
      </c>
      <c r="D2116" s="19" t="s">
        <v>1045</v>
      </c>
      <c r="E2116" s="19" t="s">
        <v>1118</v>
      </c>
      <c r="F2116" s="19">
        <v>0</v>
      </c>
      <c r="G2116" s="43">
        <v>0.12</v>
      </c>
    </row>
    <row r="2117" spans="1:7" x14ac:dyDescent="0.3">
      <c r="A2117" s="19">
        <v>1663</v>
      </c>
      <c r="B2117" s="19" t="s">
        <v>3094</v>
      </c>
      <c r="C2117" s="19" t="s">
        <v>899</v>
      </c>
      <c r="D2117" s="19" t="s">
        <v>1045</v>
      </c>
      <c r="E2117" s="19" t="s">
        <v>1118</v>
      </c>
      <c r="F2117" s="19">
        <v>0</v>
      </c>
      <c r="G2117" s="43">
        <v>0.12</v>
      </c>
    </row>
    <row r="2118" spans="1:7" x14ac:dyDescent="0.3">
      <c r="A2118" s="19">
        <v>3969</v>
      </c>
      <c r="B2118" s="19" t="s">
        <v>3094</v>
      </c>
      <c r="C2118" s="19" t="s">
        <v>899</v>
      </c>
      <c r="D2118" s="19" t="s">
        <v>1045</v>
      </c>
      <c r="E2118" s="19" t="s">
        <v>1118</v>
      </c>
      <c r="F2118" s="19">
        <v>0</v>
      </c>
      <c r="G2118" s="43">
        <v>0.12</v>
      </c>
    </row>
    <row r="2119" spans="1:7" x14ac:dyDescent="0.3">
      <c r="A2119" s="19">
        <v>925</v>
      </c>
      <c r="B2119" s="19" t="s">
        <v>3095</v>
      </c>
      <c r="C2119" s="19" t="s">
        <v>899</v>
      </c>
      <c r="D2119" s="19" t="s">
        <v>1045</v>
      </c>
      <c r="E2119" s="19" t="s">
        <v>1118</v>
      </c>
      <c r="F2119" s="19">
        <v>0</v>
      </c>
      <c r="G2119" s="43">
        <v>0.2</v>
      </c>
    </row>
    <row r="2120" spans="1:7" x14ac:dyDescent="0.3">
      <c r="A2120" s="19">
        <v>926</v>
      </c>
      <c r="B2120" s="19" t="s">
        <v>3096</v>
      </c>
      <c r="C2120" s="19" t="s">
        <v>899</v>
      </c>
      <c r="D2120" s="19" t="s">
        <v>1045</v>
      </c>
      <c r="E2120" s="19" t="s">
        <v>1118</v>
      </c>
      <c r="F2120" s="19">
        <v>0</v>
      </c>
      <c r="G2120" s="43">
        <v>0.2</v>
      </c>
    </row>
    <row r="2121" spans="1:7" x14ac:dyDescent="0.3">
      <c r="A2121" s="19">
        <v>2640</v>
      </c>
      <c r="B2121" s="19" t="s">
        <v>3097</v>
      </c>
      <c r="C2121" s="19" t="s">
        <v>899</v>
      </c>
      <c r="D2121" s="19" t="s">
        <v>1045</v>
      </c>
      <c r="E2121" s="19" t="s">
        <v>1118</v>
      </c>
      <c r="F2121" s="19">
        <v>0</v>
      </c>
      <c r="G2121" s="43">
        <v>0.35</v>
      </c>
    </row>
    <row r="2122" spans="1:7" x14ac:dyDescent="0.3">
      <c r="A2122" s="19">
        <v>3192</v>
      </c>
      <c r="B2122" s="19" t="s">
        <v>3098</v>
      </c>
      <c r="C2122" s="19" t="s">
        <v>899</v>
      </c>
      <c r="D2122" s="19" t="s">
        <v>1045</v>
      </c>
      <c r="E2122" s="19" t="s">
        <v>1118</v>
      </c>
      <c r="F2122" s="19">
        <v>0</v>
      </c>
      <c r="G2122" s="43">
        <v>0.12</v>
      </c>
    </row>
    <row r="2123" spans="1:7" x14ac:dyDescent="0.3">
      <c r="A2123" s="19">
        <v>2291</v>
      </c>
      <c r="B2123" s="19" t="s">
        <v>3099</v>
      </c>
      <c r="C2123" s="19" t="s">
        <v>899</v>
      </c>
      <c r="D2123" s="19" t="s">
        <v>1045</v>
      </c>
      <c r="E2123" s="19" t="s">
        <v>1118</v>
      </c>
      <c r="F2123" s="19">
        <v>0</v>
      </c>
      <c r="G2123" s="43">
        <v>0.12</v>
      </c>
    </row>
    <row r="2124" spans="1:7" x14ac:dyDescent="0.3">
      <c r="A2124" s="19">
        <v>2293</v>
      </c>
      <c r="B2124" s="19" t="s">
        <v>3100</v>
      </c>
      <c r="C2124" s="19" t="s">
        <v>899</v>
      </c>
      <c r="D2124" s="19" t="s">
        <v>1045</v>
      </c>
      <c r="E2124" s="19" t="s">
        <v>1118</v>
      </c>
      <c r="F2124" s="19">
        <v>0</v>
      </c>
      <c r="G2124" s="43">
        <v>0.12</v>
      </c>
    </row>
    <row r="2125" spans="1:7" x14ac:dyDescent="0.3">
      <c r="A2125" s="19">
        <v>927</v>
      </c>
      <c r="B2125" s="19" t="s">
        <v>3101</v>
      </c>
      <c r="C2125" s="19" t="s">
        <v>899</v>
      </c>
      <c r="D2125" s="19" t="s">
        <v>1045</v>
      </c>
      <c r="E2125" s="19" t="s">
        <v>1118</v>
      </c>
      <c r="F2125" s="19">
        <v>0</v>
      </c>
      <c r="G2125" s="43">
        <v>0.12</v>
      </c>
    </row>
    <row r="2126" spans="1:7" x14ac:dyDescent="0.3">
      <c r="A2126" s="19">
        <v>1180</v>
      </c>
      <c r="B2126" s="19" t="s">
        <v>3102</v>
      </c>
      <c r="C2126" s="19" t="s">
        <v>899</v>
      </c>
      <c r="D2126" s="19" t="s">
        <v>1045</v>
      </c>
      <c r="E2126" s="19" t="s">
        <v>1118</v>
      </c>
      <c r="F2126" s="19">
        <v>0</v>
      </c>
      <c r="G2126" s="43">
        <v>0.12</v>
      </c>
    </row>
    <row r="2127" spans="1:7" x14ac:dyDescent="0.3">
      <c r="A2127" s="19">
        <v>2075</v>
      </c>
      <c r="B2127" s="19" t="s">
        <v>3103</v>
      </c>
      <c r="C2127" s="19" t="s">
        <v>899</v>
      </c>
      <c r="D2127" s="19" t="s">
        <v>1045</v>
      </c>
      <c r="E2127" s="19" t="s">
        <v>1118</v>
      </c>
      <c r="F2127" s="19">
        <v>0</v>
      </c>
      <c r="G2127" s="43">
        <v>0.12</v>
      </c>
    </row>
    <row r="2128" spans="1:7" x14ac:dyDescent="0.3">
      <c r="A2128" s="19">
        <v>3575</v>
      </c>
      <c r="B2128" s="19" t="s">
        <v>3104</v>
      </c>
      <c r="C2128" s="19" t="s">
        <v>899</v>
      </c>
      <c r="D2128" s="19" t="s">
        <v>1045</v>
      </c>
      <c r="E2128" s="19" t="s">
        <v>1118</v>
      </c>
      <c r="F2128" s="19">
        <v>0</v>
      </c>
      <c r="G2128" s="43">
        <v>0.2</v>
      </c>
    </row>
    <row r="2129" spans="1:7" x14ac:dyDescent="0.3">
      <c r="A2129" s="19">
        <v>3205</v>
      </c>
      <c r="B2129" s="19" t="s">
        <v>3105</v>
      </c>
      <c r="C2129" s="19" t="s">
        <v>899</v>
      </c>
      <c r="D2129" s="19" t="s">
        <v>1045</v>
      </c>
      <c r="E2129" s="19" t="s">
        <v>1118</v>
      </c>
      <c r="F2129" s="19">
        <v>0</v>
      </c>
      <c r="G2129" s="43">
        <v>0.2</v>
      </c>
    </row>
    <row r="2130" spans="1:7" x14ac:dyDescent="0.3">
      <c r="A2130" s="19">
        <v>2534</v>
      </c>
      <c r="B2130" s="19" t="s">
        <v>3106</v>
      </c>
      <c r="C2130" s="19" t="s">
        <v>899</v>
      </c>
      <c r="D2130" s="19" t="s">
        <v>1045</v>
      </c>
      <c r="E2130" s="19" t="s">
        <v>1118</v>
      </c>
      <c r="F2130" s="19">
        <v>0</v>
      </c>
      <c r="G2130" s="43">
        <v>0.12</v>
      </c>
    </row>
    <row r="2131" spans="1:7" x14ac:dyDescent="0.3">
      <c r="A2131" s="19">
        <v>928</v>
      </c>
      <c r="B2131" s="19" t="s">
        <v>3107</v>
      </c>
      <c r="C2131" s="19" t="s">
        <v>899</v>
      </c>
      <c r="D2131" s="19" t="s">
        <v>1045</v>
      </c>
      <c r="E2131" s="19" t="s">
        <v>1118</v>
      </c>
      <c r="F2131" s="19">
        <v>0</v>
      </c>
      <c r="G2131" s="43">
        <v>0.12</v>
      </c>
    </row>
    <row r="2132" spans="1:7" x14ac:dyDescent="0.3">
      <c r="A2132" s="19">
        <v>1182</v>
      </c>
      <c r="B2132" s="19" t="s">
        <v>3108</v>
      </c>
      <c r="C2132" s="19" t="s">
        <v>899</v>
      </c>
      <c r="D2132" s="19" t="s">
        <v>1045</v>
      </c>
      <c r="E2132" s="19" t="s">
        <v>1118</v>
      </c>
      <c r="F2132" s="19">
        <v>0</v>
      </c>
      <c r="G2132" s="43">
        <v>0.12</v>
      </c>
    </row>
    <row r="2133" spans="1:7" x14ac:dyDescent="0.3">
      <c r="A2133" s="19">
        <v>929</v>
      </c>
      <c r="B2133" s="19" t="s">
        <v>3109</v>
      </c>
      <c r="C2133" s="19" t="s">
        <v>899</v>
      </c>
      <c r="D2133" s="19" t="s">
        <v>1045</v>
      </c>
      <c r="E2133" s="19" t="s">
        <v>1118</v>
      </c>
      <c r="F2133" s="19">
        <v>0</v>
      </c>
      <c r="G2133" s="43">
        <v>0.12</v>
      </c>
    </row>
    <row r="2134" spans="1:7" x14ac:dyDescent="0.3">
      <c r="A2134" s="19">
        <v>3719</v>
      </c>
      <c r="B2134" s="19" t="s">
        <v>3110</v>
      </c>
      <c r="C2134" s="19" t="s">
        <v>899</v>
      </c>
      <c r="D2134" s="19" t="s">
        <v>1045</v>
      </c>
      <c r="E2134" s="19" t="s">
        <v>1118</v>
      </c>
      <c r="F2134" s="19">
        <v>0</v>
      </c>
      <c r="G2134" s="43">
        <v>0.12</v>
      </c>
    </row>
    <row r="2135" spans="1:7" x14ac:dyDescent="0.3">
      <c r="A2135" s="19">
        <v>1693</v>
      </c>
      <c r="B2135" s="19" t="s">
        <v>3111</v>
      </c>
      <c r="C2135" s="19" t="s">
        <v>899</v>
      </c>
      <c r="D2135" s="19" t="s">
        <v>1045</v>
      </c>
      <c r="E2135" s="19" t="s">
        <v>1118</v>
      </c>
      <c r="F2135" s="19">
        <v>0</v>
      </c>
      <c r="G2135" s="43">
        <v>0.12</v>
      </c>
    </row>
    <row r="2136" spans="1:7" x14ac:dyDescent="0.3">
      <c r="A2136" s="19">
        <v>2641</v>
      </c>
      <c r="B2136" s="19" t="s">
        <v>3112</v>
      </c>
      <c r="C2136" s="19" t="s">
        <v>899</v>
      </c>
      <c r="D2136" s="19" t="s">
        <v>1045</v>
      </c>
      <c r="E2136" s="19" t="s">
        <v>1118</v>
      </c>
      <c r="F2136" s="19">
        <v>0</v>
      </c>
      <c r="G2136" s="43">
        <v>0.35</v>
      </c>
    </row>
    <row r="2137" spans="1:7" x14ac:dyDescent="0.3">
      <c r="A2137" s="19">
        <v>606</v>
      </c>
      <c r="B2137" s="19" t="s">
        <v>3113</v>
      </c>
      <c r="C2137" s="19" t="s">
        <v>899</v>
      </c>
      <c r="D2137" s="19" t="s">
        <v>1045</v>
      </c>
      <c r="E2137" s="19" t="s">
        <v>1118</v>
      </c>
      <c r="F2137" s="19">
        <v>0</v>
      </c>
      <c r="G2137" s="43">
        <v>0.2</v>
      </c>
    </row>
    <row r="2138" spans="1:7" x14ac:dyDescent="0.3">
      <c r="A2138" s="19">
        <v>3281</v>
      </c>
      <c r="B2138" s="19" t="s">
        <v>3114</v>
      </c>
      <c r="C2138" s="19" t="s">
        <v>899</v>
      </c>
      <c r="D2138" s="19" t="s">
        <v>1045</v>
      </c>
      <c r="E2138" s="19" t="s">
        <v>1118</v>
      </c>
      <c r="F2138" s="19">
        <v>0</v>
      </c>
      <c r="G2138" s="43">
        <v>0.2</v>
      </c>
    </row>
    <row r="2139" spans="1:7" x14ac:dyDescent="0.3">
      <c r="A2139" s="19">
        <v>3738</v>
      </c>
      <c r="B2139" s="19" t="s">
        <v>3115</v>
      </c>
      <c r="C2139" s="19" t="s">
        <v>899</v>
      </c>
      <c r="D2139" s="19" t="s">
        <v>1045</v>
      </c>
      <c r="E2139" s="19" t="s">
        <v>1118</v>
      </c>
      <c r="F2139" s="19">
        <v>0</v>
      </c>
      <c r="G2139" s="43">
        <v>0.2</v>
      </c>
    </row>
    <row r="2140" spans="1:7" x14ac:dyDescent="0.3">
      <c r="A2140" s="19">
        <v>3076</v>
      </c>
      <c r="B2140" s="19" t="s">
        <v>3116</v>
      </c>
      <c r="C2140" s="19" t="s">
        <v>899</v>
      </c>
      <c r="D2140" s="19" t="s">
        <v>1045</v>
      </c>
      <c r="E2140" s="19" t="s">
        <v>1118</v>
      </c>
      <c r="F2140" s="19">
        <v>0</v>
      </c>
      <c r="G2140" s="43">
        <v>0.12</v>
      </c>
    </row>
    <row r="2141" spans="1:7" x14ac:dyDescent="0.3">
      <c r="A2141" s="19">
        <v>1664</v>
      </c>
      <c r="B2141" s="19" t="s">
        <v>3117</v>
      </c>
      <c r="C2141" s="19" t="s">
        <v>899</v>
      </c>
      <c r="D2141" s="19" t="s">
        <v>1045</v>
      </c>
      <c r="E2141" s="19" t="s">
        <v>1118</v>
      </c>
      <c r="F2141" s="19">
        <v>0</v>
      </c>
      <c r="G2141" s="43">
        <v>0.12</v>
      </c>
    </row>
    <row r="2142" spans="1:7" x14ac:dyDescent="0.3">
      <c r="A2142" s="19">
        <v>1197</v>
      </c>
      <c r="B2142" s="19" t="s">
        <v>3118</v>
      </c>
      <c r="C2142" s="19" t="s">
        <v>899</v>
      </c>
      <c r="D2142" s="19" t="s">
        <v>1045</v>
      </c>
      <c r="E2142" s="19" t="s">
        <v>1118</v>
      </c>
      <c r="F2142" s="19">
        <v>0</v>
      </c>
      <c r="G2142" s="43">
        <v>0.2</v>
      </c>
    </row>
    <row r="2143" spans="1:7" x14ac:dyDescent="0.3">
      <c r="A2143" s="19">
        <v>3002</v>
      </c>
      <c r="B2143" s="19" t="s">
        <v>3119</v>
      </c>
      <c r="C2143" s="19" t="s">
        <v>899</v>
      </c>
      <c r="D2143" s="19" t="s">
        <v>1045</v>
      </c>
      <c r="E2143" s="19" t="s">
        <v>1118</v>
      </c>
      <c r="F2143" s="19">
        <v>0</v>
      </c>
      <c r="G2143" s="43">
        <v>0.12</v>
      </c>
    </row>
    <row r="2144" spans="1:7" x14ac:dyDescent="0.3">
      <c r="A2144" s="19">
        <v>4080</v>
      </c>
      <c r="B2144" s="19" t="s">
        <v>3120</v>
      </c>
      <c r="C2144" s="19" t="s">
        <v>1338</v>
      </c>
      <c r="D2144" s="19" t="s">
        <v>1045</v>
      </c>
      <c r="E2144" s="19" t="s">
        <v>1118</v>
      </c>
      <c r="F2144" s="19">
        <v>0</v>
      </c>
      <c r="G2144" s="43">
        <v>0.2</v>
      </c>
    </row>
    <row r="2145" spans="1:7" x14ac:dyDescent="0.3">
      <c r="A2145" s="19">
        <v>1183</v>
      </c>
      <c r="B2145" s="19" t="s">
        <v>3121</v>
      </c>
      <c r="C2145" s="19" t="s">
        <v>899</v>
      </c>
      <c r="D2145" s="19" t="s">
        <v>1045</v>
      </c>
      <c r="E2145" s="19" t="s">
        <v>1118</v>
      </c>
      <c r="F2145" s="19">
        <v>0</v>
      </c>
      <c r="G2145" s="43">
        <v>0.12</v>
      </c>
    </row>
    <row r="2146" spans="1:7" x14ac:dyDescent="0.3">
      <c r="A2146" s="19">
        <v>4037</v>
      </c>
      <c r="B2146" s="19" t="s">
        <v>3122</v>
      </c>
      <c r="C2146" s="19" t="s">
        <v>899</v>
      </c>
      <c r="D2146" s="19" t="s">
        <v>1045</v>
      </c>
      <c r="E2146" s="19" t="s">
        <v>1118</v>
      </c>
      <c r="F2146" s="19">
        <v>0</v>
      </c>
      <c r="G2146" s="43">
        <v>0.14000000000000001</v>
      </c>
    </row>
    <row r="2147" spans="1:7" x14ac:dyDescent="0.3">
      <c r="A2147" s="19">
        <v>2092</v>
      </c>
      <c r="B2147" s="19" t="s">
        <v>3123</v>
      </c>
      <c r="C2147" s="19" t="s">
        <v>899</v>
      </c>
      <c r="D2147" s="19" t="s">
        <v>1045</v>
      </c>
      <c r="E2147" s="19" t="s">
        <v>1118</v>
      </c>
      <c r="F2147" s="19">
        <v>0</v>
      </c>
      <c r="G2147" s="43">
        <v>0.12</v>
      </c>
    </row>
    <row r="2148" spans="1:7" x14ac:dyDescent="0.3">
      <c r="A2148" s="19">
        <v>1694</v>
      </c>
      <c r="B2148" s="19" t="s">
        <v>3124</v>
      </c>
      <c r="C2148" s="19" t="s">
        <v>899</v>
      </c>
      <c r="D2148" s="19" t="s">
        <v>1045</v>
      </c>
      <c r="E2148" s="19" t="s">
        <v>1118</v>
      </c>
      <c r="F2148" s="19">
        <v>0</v>
      </c>
      <c r="G2148" s="43">
        <v>0.12</v>
      </c>
    </row>
    <row r="2149" spans="1:7" x14ac:dyDescent="0.3">
      <c r="A2149" s="19">
        <v>930</v>
      </c>
      <c r="B2149" s="19" t="s">
        <v>3125</v>
      </c>
      <c r="C2149" s="19" t="s">
        <v>899</v>
      </c>
      <c r="D2149" s="19" t="s">
        <v>1045</v>
      </c>
      <c r="E2149" s="19" t="s">
        <v>1118</v>
      </c>
      <c r="F2149" s="19">
        <v>0</v>
      </c>
      <c r="G2149" s="43">
        <v>0.12</v>
      </c>
    </row>
    <row r="2150" spans="1:7" x14ac:dyDescent="0.3">
      <c r="A2150" s="19">
        <v>1170</v>
      </c>
      <c r="B2150" s="19" t="s">
        <v>3126</v>
      </c>
      <c r="C2150" s="19" t="s">
        <v>899</v>
      </c>
      <c r="D2150" s="19" t="s">
        <v>1045</v>
      </c>
      <c r="E2150" s="19" t="s">
        <v>1118</v>
      </c>
      <c r="F2150" s="19">
        <v>0</v>
      </c>
      <c r="G2150" s="43">
        <v>0.12</v>
      </c>
    </row>
    <row r="2151" spans="1:7" x14ac:dyDescent="0.3">
      <c r="A2151" s="19">
        <v>1695</v>
      </c>
      <c r="B2151" s="19" t="s">
        <v>3127</v>
      </c>
      <c r="C2151" s="19" t="s">
        <v>899</v>
      </c>
      <c r="D2151" s="19" t="s">
        <v>1045</v>
      </c>
      <c r="E2151" s="19" t="s">
        <v>1118</v>
      </c>
      <c r="F2151" s="19">
        <v>0</v>
      </c>
      <c r="G2151" s="43">
        <v>0.12</v>
      </c>
    </row>
    <row r="2152" spans="1:7" x14ac:dyDescent="0.3">
      <c r="A2152" s="19">
        <v>931</v>
      </c>
      <c r="B2152" s="19" t="s">
        <v>3128</v>
      </c>
      <c r="C2152" s="19" t="s">
        <v>899</v>
      </c>
      <c r="D2152" s="19" t="s">
        <v>1045</v>
      </c>
      <c r="E2152" s="19" t="s">
        <v>1118</v>
      </c>
      <c r="F2152" s="19">
        <v>0</v>
      </c>
      <c r="G2152" s="43">
        <v>0.12</v>
      </c>
    </row>
    <row r="2153" spans="1:7" x14ac:dyDescent="0.3">
      <c r="A2153" s="19">
        <v>3721</v>
      </c>
      <c r="B2153" s="19" t="s">
        <v>3129</v>
      </c>
      <c r="C2153" s="19" t="s">
        <v>899</v>
      </c>
      <c r="D2153" s="19" t="s">
        <v>1045</v>
      </c>
      <c r="E2153" s="19" t="s">
        <v>1118</v>
      </c>
      <c r="F2153" s="19">
        <v>0</v>
      </c>
      <c r="G2153" s="43">
        <v>0.2</v>
      </c>
    </row>
    <row r="2154" spans="1:7" x14ac:dyDescent="0.3">
      <c r="A2154" s="19">
        <v>3221</v>
      </c>
      <c r="B2154" s="19" t="s">
        <v>3130</v>
      </c>
      <c r="C2154" s="19" t="s">
        <v>899</v>
      </c>
      <c r="D2154" s="19" t="s">
        <v>1045</v>
      </c>
      <c r="E2154" s="19" t="s">
        <v>1118</v>
      </c>
      <c r="F2154" s="19">
        <v>0</v>
      </c>
      <c r="G2154" s="43">
        <v>0.12</v>
      </c>
    </row>
    <row r="2155" spans="1:7" x14ac:dyDescent="0.3">
      <c r="A2155" s="19">
        <v>932</v>
      </c>
      <c r="B2155" s="19" t="s">
        <v>3131</v>
      </c>
      <c r="C2155" s="19" t="s">
        <v>899</v>
      </c>
      <c r="D2155" s="19" t="s">
        <v>1045</v>
      </c>
      <c r="E2155" s="19" t="s">
        <v>1118</v>
      </c>
      <c r="F2155" s="19">
        <v>0</v>
      </c>
      <c r="G2155" s="43">
        <v>0.12</v>
      </c>
    </row>
    <row r="2156" spans="1:7" x14ac:dyDescent="0.3">
      <c r="A2156" s="19">
        <v>935</v>
      </c>
      <c r="B2156" s="19" t="s">
        <v>3132</v>
      </c>
      <c r="C2156" s="19" t="s">
        <v>899</v>
      </c>
      <c r="D2156" s="19" t="s">
        <v>1045</v>
      </c>
      <c r="E2156" s="19" t="s">
        <v>1118</v>
      </c>
      <c r="F2156" s="19">
        <v>0</v>
      </c>
      <c r="G2156" s="43">
        <v>0.12</v>
      </c>
    </row>
    <row r="2157" spans="1:7" x14ac:dyDescent="0.3">
      <c r="A2157" s="19">
        <v>933</v>
      </c>
      <c r="B2157" s="19" t="s">
        <v>3133</v>
      </c>
      <c r="C2157" s="19" t="s">
        <v>899</v>
      </c>
      <c r="D2157" s="19" t="s">
        <v>1045</v>
      </c>
      <c r="E2157" s="19" t="s">
        <v>1118</v>
      </c>
      <c r="F2157" s="19">
        <v>0</v>
      </c>
      <c r="G2157" s="43">
        <v>0.12</v>
      </c>
    </row>
    <row r="2158" spans="1:7" x14ac:dyDescent="0.3">
      <c r="A2158" s="19">
        <v>1303</v>
      </c>
      <c r="B2158" s="19" t="s">
        <v>3134</v>
      </c>
      <c r="C2158" s="19" t="s">
        <v>899</v>
      </c>
      <c r="D2158" s="19" t="s">
        <v>1045</v>
      </c>
      <c r="E2158" s="19" t="s">
        <v>1118</v>
      </c>
      <c r="F2158" s="19">
        <v>0</v>
      </c>
      <c r="G2158" s="43">
        <v>0.12</v>
      </c>
    </row>
    <row r="2159" spans="1:7" x14ac:dyDescent="0.3">
      <c r="A2159" s="19">
        <v>934</v>
      </c>
      <c r="B2159" s="19" t="s">
        <v>3135</v>
      </c>
      <c r="C2159" s="19" t="s">
        <v>899</v>
      </c>
      <c r="D2159" s="19" t="s">
        <v>1045</v>
      </c>
      <c r="E2159" s="19" t="s">
        <v>1118</v>
      </c>
      <c r="F2159" s="19">
        <v>0</v>
      </c>
      <c r="G2159" s="43">
        <v>0.12</v>
      </c>
    </row>
    <row r="2160" spans="1:7" x14ac:dyDescent="0.3">
      <c r="A2160" s="19">
        <v>3348</v>
      </c>
      <c r="B2160" s="19" t="s">
        <v>3136</v>
      </c>
      <c r="C2160" s="19" t="s">
        <v>899</v>
      </c>
      <c r="D2160" s="19" t="s">
        <v>1045</v>
      </c>
      <c r="E2160" s="19" t="s">
        <v>1118</v>
      </c>
      <c r="F2160" s="19">
        <v>0</v>
      </c>
      <c r="G2160" s="43">
        <v>0.14000000000000001</v>
      </c>
    </row>
    <row r="2161" spans="1:7" x14ac:dyDescent="0.3">
      <c r="A2161" s="19">
        <v>3348</v>
      </c>
      <c r="B2161" s="19" t="s">
        <v>3137</v>
      </c>
      <c r="C2161" s="19" t="s">
        <v>899</v>
      </c>
      <c r="D2161" s="19" t="s">
        <v>1045</v>
      </c>
      <c r="E2161" s="19" t="s">
        <v>1118</v>
      </c>
      <c r="F2161" s="19">
        <v>0</v>
      </c>
      <c r="G2161" s="43">
        <v>0.12</v>
      </c>
    </row>
    <row r="2162" spans="1:7" x14ac:dyDescent="0.3">
      <c r="A2162" s="19">
        <v>3349</v>
      </c>
      <c r="B2162" s="19" t="s">
        <v>3138</v>
      </c>
      <c r="C2162" s="19" t="s">
        <v>899</v>
      </c>
      <c r="D2162" s="19" t="s">
        <v>1045</v>
      </c>
      <c r="E2162" s="19" t="s">
        <v>1118</v>
      </c>
      <c r="F2162" s="19">
        <v>0</v>
      </c>
      <c r="G2162" s="43">
        <v>0.12</v>
      </c>
    </row>
    <row r="2163" spans="1:7" x14ac:dyDescent="0.3">
      <c r="A2163" s="19">
        <v>937</v>
      </c>
      <c r="B2163" s="19" t="s">
        <v>3139</v>
      </c>
      <c r="C2163" s="19" t="s">
        <v>899</v>
      </c>
      <c r="D2163" s="19" t="s">
        <v>1045</v>
      </c>
      <c r="E2163" s="19" t="s">
        <v>1118</v>
      </c>
      <c r="F2163" s="19">
        <v>0</v>
      </c>
      <c r="G2163" s="43">
        <v>0.12</v>
      </c>
    </row>
    <row r="2164" spans="1:7" x14ac:dyDescent="0.3">
      <c r="A2164" s="19">
        <v>1328</v>
      </c>
      <c r="B2164" s="19" t="s">
        <v>3140</v>
      </c>
      <c r="C2164" s="19" t="s">
        <v>899</v>
      </c>
      <c r="D2164" s="19" t="s">
        <v>1045</v>
      </c>
      <c r="E2164" s="19" t="s">
        <v>1118</v>
      </c>
      <c r="F2164" s="19">
        <v>0</v>
      </c>
      <c r="G2164" s="43">
        <v>0.12</v>
      </c>
    </row>
    <row r="2165" spans="1:7" x14ac:dyDescent="0.3">
      <c r="A2165" s="19">
        <v>2671</v>
      </c>
      <c r="B2165" s="19" t="s">
        <v>3141</v>
      </c>
      <c r="C2165" s="19" t="s">
        <v>899</v>
      </c>
      <c r="D2165" s="19" t="s">
        <v>1045</v>
      </c>
      <c r="E2165" s="19" t="s">
        <v>1118</v>
      </c>
      <c r="F2165" s="19">
        <v>0</v>
      </c>
      <c r="G2165" s="43">
        <v>0.2</v>
      </c>
    </row>
    <row r="2166" spans="1:7" x14ac:dyDescent="0.3">
      <c r="A2166" s="19">
        <v>2940</v>
      </c>
      <c r="B2166" s="19" t="s">
        <v>3142</v>
      </c>
      <c r="C2166" s="19" t="s">
        <v>899</v>
      </c>
      <c r="D2166" s="19" t="s">
        <v>1045</v>
      </c>
      <c r="E2166" s="19" t="s">
        <v>1118</v>
      </c>
      <c r="F2166" s="19">
        <v>0</v>
      </c>
      <c r="G2166" s="43">
        <v>0.12</v>
      </c>
    </row>
    <row r="2167" spans="1:7" x14ac:dyDescent="0.3">
      <c r="A2167" s="19">
        <v>2435</v>
      </c>
      <c r="B2167" s="19" t="s">
        <v>3143</v>
      </c>
      <c r="C2167" s="19" t="s">
        <v>899</v>
      </c>
      <c r="D2167" s="19" t="s">
        <v>1045</v>
      </c>
      <c r="E2167" s="19" t="s">
        <v>1118</v>
      </c>
      <c r="F2167" s="19">
        <v>0</v>
      </c>
      <c r="G2167" s="43">
        <v>0.12</v>
      </c>
    </row>
    <row r="2168" spans="1:7" x14ac:dyDescent="0.3">
      <c r="A2168" s="19">
        <v>2295</v>
      </c>
      <c r="B2168" s="19" t="s">
        <v>3144</v>
      </c>
      <c r="C2168" s="19" t="s">
        <v>899</v>
      </c>
      <c r="D2168" s="19" t="s">
        <v>1045</v>
      </c>
      <c r="E2168" s="19" t="s">
        <v>1118</v>
      </c>
      <c r="F2168" s="19">
        <v>0</v>
      </c>
      <c r="G2168" s="43">
        <v>0.12</v>
      </c>
    </row>
    <row r="2169" spans="1:7" x14ac:dyDescent="0.3">
      <c r="A2169" s="19">
        <v>1172</v>
      </c>
      <c r="B2169" s="19" t="s">
        <v>3145</v>
      </c>
      <c r="C2169" s="19" t="s">
        <v>899</v>
      </c>
      <c r="D2169" s="19" t="s">
        <v>1045</v>
      </c>
      <c r="E2169" s="19" t="s">
        <v>1118</v>
      </c>
      <c r="F2169" s="19">
        <v>0</v>
      </c>
      <c r="G2169" s="43">
        <v>0.12</v>
      </c>
    </row>
    <row r="2170" spans="1:7" x14ac:dyDescent="0.3">
      <c r="A2170" s="19">
        <v>1728</v>
      </c>
      <c r="B2170" s="19" t="s">
        <v>3146</v>
      </c>
      <c r="C2170" s="19" t="s">
        <v>899</v>
      </c>
      <c r="D2170" s="19" t="s">
        <v>1045</v>
      </c>
      <c r="E2170" s="19" t="s">
        <v>1118</v>
      </c>
      <c r="F2170" s="19">
        <v>0</v>
      </c>
      <c r="G2170" s="43">
        <v>0.12</v>
      </c>
    </row>
    <row r="2171" spans="1:7" x14ac:dyDescent="0.3">
      <c r="A2171" s="19">
        <v>1012</v>
      </c>
      <c r="B2171" s="19" t="s">
        <v>3147</v>
      </c>
      <c r="C2171" s="19" t="s">
        <v>899</v>
      </c>
      <c r="D2171" s="19" t="s">
        <v>1045</v>
      </c>
      <c r="E2171" s="19" t="s">
        <v>1118</v>
      </c>
      <c r="F2171" s="19">
        <v>0</v>
      </c>
      <c r="G2171" s="43">
        <v>0.12</v>
      </c>
    </row>
    <row r="2172" spans="1:7" x14ac:dyDescent="0.3">
      <c r="A2172" s="19">
        <v>2436</v>
      </c>
      <c r="B2172" s="19" t="s">
        <v>3148</v>
      </c>
      <c r="C2172" s="19" t="s">
        <v>899</v>
      </c>
      <c r="D2172" s="19" t="s">
        <v>1045</v>
      </c>
      <c r="E2172" s="19" t="s">
        <v>1118</v>
      </c>
      <c r="F2172" s="19">
        <v>0</v>
      </c>
      <c r="G2172" s="43">
        <v>0.12</v>
      </c>
    </row>
    <row r="2173" spans="1:7" x14ac:dyDescent="0.3">
      <c r="A2173" s="19">
        <v>629</v>
      </c>
      <c r="B2173" s="19" t="s">
        <v>3149</v>
      </c>
      <c r="C2173" s="19" t="s">
        <v>899</v>
      </c>
      <c r="D2173" s="19" t="s">
        <v>1045</v>
      </c>
      <c r="E2173" s="19" t="s">
        <v>1118</v>
      </c>
      <c r="F2173" s="19">
        <v>0</v>
      </c>
      <c r="G2173" s="43">
        <v>0.2</v>
      </c>
    </row>
    <row r="2174" spans="1:7" x14ac:dyDescent="0.3">
      <c r="A2174" s="19">
        <v>1171</v>
      </c>
      <c r="B2174" s="19" t="s">
        <v>3150</v>
      </c>
      <c r="C2174" s="19" t="s">
        <v>899</v>
      </c>
      <c r="D2174" s="19" t="s">
        <v>1045</v>
      </c>
      <c r="E2174" s="19" t="s">
        <v>1118</v>
      </c>
      <c r="F2174" s="19">
        <v>0</v>
      </c>
      <c r="G2174" s="43">
        <v>0.12</v>
      </c>
    </row>
    <row r="2175" spans="1:7" x14ac:dyDescent="0.3">
      <c r="A2175" s="19">
        <v>1665</v>
      </c>
      <c r="B2175" s="19" t="s">
        <v>3151</v>
      </c>
      <c r="C2175" s="19" t="s">
        <v>899</v>
      </c>
      <c r="D2175" s="19" t="s">
        <v>1045</v>
      </c>
      <c r="E2175" s="19" t="s">
        <v>1118</v>
      </c>
      <c r="F2175" s="19">
        <v>0</v>
      </c>
      <c r="G2175" s="43">
        <v>0.12</v>
      </c>
    </row>
    <row r="2176" spans="1:7" x14ac:dyDescent="0.3">
      <c r="A2176" s="19">
        <v>938</v>
      </c>
      <c r="B2176" s="19" t="s">
        <v>3152</v>
      </c>
      <c r="C2176" s="19" t="s">
        <v>899</v>
      </c>
      <c r="D2176" s="19" t="s">
        <v>1045</v>
      </c>
      <c r="E2176" s="19" t="s">
        <v>1118</v>
      </c>
      <c r="F2176" s="19">
        <v>0</v>
      </c>
      <c r="G2176" s="43">
        <v>0.12</v>
      </c>
    </row>
    <row r="2177" spans="1:7" x14ac:dyDescent="0.3">
      <c r="A2177" s="19">
        <v>2790</v>
      </c>
      <c r="B2177" s="19" t="s">
        <v>3153</v>
      </c>
      <c r="C2177" s="19" t="s">
        <v>899</v>
      </c>
      <c r="D2177" s="19" t="s">
        <v>1045</v>
      </c>
      <c r="E2177" s="19" t="s">
        <v>1118</v>
      </c>
      <c r="F2177" s="19">
        <v>0</v>
      </c>
      <c r="G2177" s="43">
        <v>0.12</v>
      </c>
    </row>
    <row r="2178" spans="1:7" x14ac:dyDescent="0.3">
      <c r="A2178" s="19">
        <v>939</v>
      </c>
      <c r="B2178" s="19" t="s">
        <v>3154</v>
      </c>
      <c r="C2178" s="19" t="s">
        <v>899</v>
      </c>
      <c r="D2178" s="19" t="s">
        <v>1045</v>
      </c>
      <c r="E2178" s="19" t="s">
        <v>1118</v>
      </c>
      <c r="F2178" s="19">
        <v>0</v>
      </c>
      <c r="G2178" s="43">
        <v>0.12</v>
      </c>
    </row>
    <row r="2179" spans="1:7" x14ac:dyDescent="0.3">
      <c r="A2179" s="19">
        <v>2205</v>
      </c>
      <c r="B2179" s="19" t="s">
        <v>3155</v>
      </c>
      <c r="C2179" s="19" t="s">
        <v>899</v>
      </c>
      <c r="D2179" s="19" t="s">
        <v>1045</v>
      </c>
      <c r="E2179" s="19" t="s">
        <v>1118</v>
      </c>
      <c r="F2179" s="19">
        <v>0</v>
      </c>
      <c r="G2179" s="43">
        <v>0.12</v>
      </c>
    </row>
    <row r="2180" spans="1:7" x14ac:dyDescent="0.3">
      <c r="A2180" s="19">
        <v>417</v>
      </c>
      <c r="B2180" s="19" t="s">
        <v>3156</v>
      </c>
      <c r="C2180" s="19" t="s">
        <v>899</v>
      </c>
      <c r="D2180" s="19" t="s">
        <v>1045</v>
      </c>
      <c r="E2180" s="19" t="s">
        <v>1118</v>
      </c>
      <c r="F2180" s="19">
        <v>0</v>
      </c>
      <c r="G2180" s="43">
        <v>0.12</v>
      </c>
    </row>
    <row r="2181" spans="1:7" x14ac:dyDescent="0.3">
      <c r="A2181" s="19">
        <v>3350</v>
      </c>
      <c r="B2181" s="19" t="s">
        <v>3157</v>
      </c>
      <c r="C2181" s="19" t="s">
        <v>899</v>
      </c>
      <c r="D2181" s="19" t="s">
        <v>1045</v>
      </c>
      <c r="E2181" s="19" t="s">
        <v>1118</v>
      </c>
      <c r="F2181" s="19">
        <v>0</v>
      </c>
      <c r="G2181" s="43">
        <v>0.2</v>
      </c>
    </row>
    <row r="2182" spans="1:7" x14ac:dyDescent="0.3">
      <c r="A2182" s="19">
        <v>2037</v>
      </c>
      <c r="B2182" s="19" t="s">
        <v>3158</v>
      </c>
      <c r="C2182" s="19" t="s">
        <v>899</v>
      </c>
      <c r="D2182" s="19" t="s">
        <v>1045</v>
      </c>
      <c r="E2182" s="19" t="s">
        <v>1118</v>
      </c>
      <c r="F2182" s="19">
        <v>0</v>
      </c>
      <c r="G2182" s="43">
        <v>0.12</v>
      </c>
    </row>
    <row r="2183" spans="1:7" x14ac:dyDescent="0.3">
      <c r="A2183" s="19">
        <v>3018</v>
      </c>
      <c r="B2183" s="19" t="s">
        <v>3159</v>
      </c>
      <c r="C2183" s="19" t="s">
        <v>899</v>
      </c>
      <c r="D2183" s="19" t="s">
        <v>1045</v>
      </c>
      <c r="E2183" s="19" t="s">
        <v>1118</v>
      </c>
      <c r="F2183" s="19">
        <v>0</v>
      </c>
      <c r="G2183" s="43">
        <v>0.2</v>
      </c>
    </row>
    <row r="2184" spans="1:7" x14ac:dyDescent="0.3">
      <c r="A2184" s="19">
        <v>2732</v>
      </c>
      <c r="B2184" s="19" t="s">
        <v>3160</v>
      </c>
      <c r="C2184" s="19" t="s">
        <v>899</v>
      </c>
      <c r="D2184" s="19" t="s">
        <v>1045</v>
      </c>
      <c r="E2184" s="19" t="s">
        <v>1118</v>
      </c>
      <c r="F2184" s="19">
        <v>0</v>
      </c>
      <c r="G2184" s="43">
        <v>0.12</v>
      </c>
    </row>
    <row r="2185" spans="1:7" x14ac:dyDescent="0.3">
      <c r="A2185" s="19">
        <v>2437</v>
      </c>
      <c r="B2185" s="19" t="s">
        <v>3161</v>
      </c>
      <c r="C2185" s="19" t="s">
        <v>899</v>
      </c>
      <c r="D2185" s="19" t="s">
        <v>1045</v>
      </c>
      <c r="E2185" s="19" t="s">
        <v>1118</v>
      </c>
      <c r="F2185" s="19">
        <v>0</v>
      </c>
      <c r="G2185" s="43">
        <v>0.12</v>
      </c>
    </row>
    <row r="2186" spans="1:7" x14ac:dyDescent="0.3">
      <c r="A2186" s="19">
        <v>424</v>
      </c>
      <c r="B2186" s="19" t="s">
        <v>3162</v>
      </c>
      <c r="C2186" s="19" t="s">
        <v>899</v>
      </c>
      <c r="D2186" s="19" t="s">
        <v>1045</v>
      </c>
      <c r="E2186" s="19" t="s">
        <v>1118</v>
      </c>
      <c r="F2186" s="19">
        <v>0</v>
      </c>
      <c r="G2186" s="43">
        <v>0.12</v>
      </c>
    </row>
    <row r="2187" spans="1:7" x14ac:dyDescent="0.3">
      <c r="A2187" s="19">
        <v>607</v>
      </c>
      <c r="B2187" s="19" t="s">
        <v>3163</v>
      </c>
      <c r="C2187" s="19" t="s">
        <v>899</v>
      </c>
      <c r="D2187" s="19" t="s">
        <v>1045</v>
      </c>
      <c r="E2187" s="19" t="s">
        <v>1118</v>
      </c>
      <c r="F2187" s="19">
        <v>0</v>
      </c>
      <c r="G2187" s="43">
        <v>0.12</v>
      </c>
    </row>
    <row r="2188" spans="1:7" x14ac:dyDescent="0.3">
      <c r="A2188" s="19">
        <v>2438</v>
      </c>
      <c r="B2188" s="19" t="s">
        <v>3164</v>
      </c>
      <c r="C2188" s="19" t="s">
        <v>899</v>
      </c>
      <c r="D2188" s="19" t="s">
        <v>1045</v>
      </c>
      <c r="E2188" s="19" t="s">
        <v>1118</v>
      </c>
      <c r="F2188" s="19">
        <v>0</v>
      </c>
      <c r="G2188" s="43">
        <v>0.12</v>
      </c>
    </row>
    <row r="2189" spans="1:7" x14ac:dyDescent="0.3">
      <c r="A2189" s="19">
        <v>2439</v>
      </c>
      <c r="B2189" s="19" t="s">
        <v>3165</v>
      </c>
      <c r="C2189" s="19" t="s">
        <v>899</v>
      </c>
      <c r="D2189" s="19" t="s">
        <v>1045</v>
      </c>
      <c r="E2189" s="19" t="s">
        <v>1118</v>
      </c>
      <c r="F2189" s="19">
        <v>0</v>
      </c>
      <c r="G2189" s="43">
        <v>0.12</v>
      </c>
    </row>
    <row r="2190" spans="1:7" x14ac:dyDescent="0.3">
      <c r="A2190" s="19">
        <v>3222</v>
      </c>
      <c r="B2190" s="19" t="s">
        <v>3166</v>
      </c>
      <c r="C2190" s="19" t="s">
        <v>899</v>
      </c>
      <c r="D2190" s="19" t="s">
        <v>1045</v>
      </c>
      <c r="E2190" s="19" t="s">
        <v>1118</v>
      </c>
      <c r="F2190" s="19">
        <v>0</v>
      </c>
      <c r="G2190" s="43">
        <v>0.12</v>
      </c>
    </row>
    <row r="2191" spans="1:7" x14ac:dyDescent="0.3">
      <c r="A2191" s="19">
        <v>1696</v>
      </c>
      <c r="B2191" s="19" t="s">
        <v>3167</v>
      </c>
      <c r="C2191" s="19" t="s">
        <v>899</v>
      </c>
      <c r="D2191" s="19" t="s">
        <v>1045</v>
      </c>
      <c r="E2191" s="19" t="s">
        <v>1118</v>
      </c>
      <c r="F2191" s="19">
        <v>0</v>
      </c>
      <c r="G2191" s="43">
        <v>0.12</v>
      </c>
    </row>
    <row r="2192" spans="1:7" x14ac:dyDescent="0.3">
      <c r="A2192" s="19">
        <v>2296</v>
      </c>
      <c r="B2192" s="19" t="s">
        <v>3168</v>
      </c>
      <c r="C2192" s="19" t="s">
        <v>899</v>
      </c>
      <c r="D2192" s="19" t="s">
        <v>1045</v>
      </c>
      <c r="E2192" s="19" t="s">
        <v>1118</v>
      </c>
      <c r="F2192" s="19">
        <v>0</v>
      </c>
      <c r="G2192" s="43">
        <v>0.12</v>
      </c>
    </row>
    <row r="2193" spans="1:7" x14ac:dyDescent="0.3">
      <c r="A2193" s="19">
        <v>1666</v>
      </c>
      <c r="B2193" s="19" t="s">
        <v>3169</v>
      </c>
      <c r="C2193" s="19" t="s">
        <v>899</v>
      </c>
      <c r="D2193" s="19" t="s">
        <v>1045</v>
      </c>
      <c r="E2193" s="19" t="s">
        <v>1118</v>
      </c>
      <c r="F2193" s="19">
        <v>0</v>
      </c>
      <c r="G2193" s="43">
        <v>0.12</v>
      </c>
    </row>
    <row r="2194" spans="1:7" x14ac:dyDescent="0.3">
      <c r="A2194" s="19">
        <v>2374</v>
      </c>
      <c r="B2194" s="19" t="s">
        <v>3170</v>
      </c>
      <c r="C2194" s="19" t="s">
        <v>899</v>
      </c>
      <c r="D2194" s="19" t="s">
        <v>1045</v>
      </c>
      <c r="E2194" s="19" t="s">
        <v>1118</v>
      </c>
      <c r="F2194" s="19">
        <v>0</v>
      </c>
      <c r="G2194" s="43">
        <v>0.14000000000000001</v>
      </c>
    </row>
    <row r="2195" spans="1:7" x14ac:dyDescent="0.3">
      <c r="A2195" s="19">
        <v>1300</v>
      </c>
      <c r="B2195" s="19" t="s">
        <v>3171</v>
      </c>
      <c r="C2195" s="19" t="s">
        <v>899</v>
      </c>
      <c r="D2195" s="19" t="s">
        <v>1045</v>
      </c>
      <c r="E2195" s="19" t="s">
        <v>1118</v>
      </c>
      <c r="F2195" s="19">
        <v>0</v>
      </c>
      <c r="G2195" s="43">
        <v>0.2</v>
      </c>
    </row>
    <row r="2196" spans="1:7" x14ac:dyDescent="0.3">
      <c r="A2196" s="19">
        <v>2612</v>
      </c>
      <c r="B2196" s="19" t="s">
        <v>3172</v>
      </c>
      <c r="C2196" s="19" t="s">
        <v>899</v>
      </c>
      <c r="D2196" s="19" t="s">
        <v>1045</v>
      </c>
      <c r="E2196" s="19" t="s">
        <v>1118</v>
      </c>
      <c r="F2196" s="19">
        <v>0</v>
      </c>
      <c r="G2196" s="43">
        <v>0.12</v>
      </c>
    </row>
    <row r="2197" spans="1:7" x14ac:dyDescent="0.3">
      <c r="A2197" s="19">
        <v>1667</v>
      </c>
      <c r="B2197" s="19" t="s">
        <v>3173</v>
      </c>
      <c r="C2197" s="19" t="s">
        <v>899</v>
      </c>
      <c r="D2197" s="19" t="s">
        <v>1045</v>
      </c>
      <c r="E2197" s="19" t="s">
        <v>1118</v>
      </c>
      <c r="F2197" s="19">
        <v>0</v>
      </c>
      <c r="G2197" s="43">
        <v>0.12</v>
      </c>
    </row>
    <row r="2198" spans="1:7" x14ac:dyDescent="0.3">
      <c r="A2198" s="19">
        <v>2067</v>
      </c>
      <c r="B2198" s="19" t="s">
        <v>3174</v>
      </c>
      <c r="C2198" s="19" t="s">
        <v>899</v>
      </c>
      <c r="D2198" s="19" t="s">
        <v>1045</v>
      </c>
      <c r="E2198" s="19" t="s">
        <v>1118</v>
      </c>
      <c r="F2198" s="19">
        <v>0</v>
      </c>
      <c r="G2198" s="43">
        <v>0.12</v>
      </c>
    </row>
    <row r="2199" spans="1:7" x14ac:dyDescent="0.3">
      <c r="A2199" s="19">
        <v>3727</v>
      </c>
      <c r="B2199" s="19" t="s">
        <v>3175</v>
      </c>
      <c r="C2199" s="19" t="s">
        <v>899</v>
      </c>
      <c r="D2199" s="19" t="s">
        <v>1045</v>
      </c>
      <c r="E2199" s="19" t="s">
        <v>1118</v>
      </c>
      <c r="F2199" s="19">
        <v>0</v>
      </c>
      <c r="G2199" s="43">
        <v>0.2</v>
      </c>
    </row>
    <row r="2200" spans="1:7" x14ac:dyDescent="0.3">
      <c r="A2200" s="19">
        <v>1519</v>
      </c>
      <c r="B2200" s="19" t="s">
        <v>3176</v>
      </c>
      <c r="C2200" s="19" t="s">
        <v>899</v>
      </c>
      <c r="D2200" s="19" t="s">
        <v>1045</v>
      </c>
      <c r="E2200" s="19" t="s">
        <v>1118</v>
      </c>
      <c r="F2200" s="19">
        <v>0</v>
      </c>
      <c r="G2200" s="43">
        <v>0.12</v>
      </c>
    </row>
    <row r="2201" spans="1:7" x14ac:dyDescent="0.3">
      <c r="A2201" s="19">
        <v>3540</v>
      </c>
      <c r="B2201" s="19" t="s">
        <v>3177</v>
      </c>
      <c r="C2201" s="19" t="s">
        <v>899</v>
      </c>
      <c r="D2201" s="19" t="s">
        <v>1045</v>
      </c>
      <c r="E2201" s="19" t="s">
        <v>1118</v>
      </c>
      <c r="F2201" s="19">
        <v>0</v>
      </c>
      <c r="G2201" s="43">
        <v>0.2</v>
      </c>
    </row>
    <row r="2202" spans="1:7" x14ac:dyDescent="0.3">
      <c r="A2202" s="19">
        <v>1697</v>
      </c>
      <c r="B2202" s="19" t="s">
        <v>3178</v>
      </c>
      <c r="C2202" s="19" t="s">
        <v>899</v>
      </c>
      <c r="D2202" s="19" t="s">
        <v>1045</v>
      </c>
      <c r="E2202" s="19" t="s">
        <v>1118</v>
      </c>
      <c r="F2202" s="19">
        <v>0</v>
      </c>
      <c r="G2202" s="43">
        <v>0.12</v>
      </c>
    </row>
    <row r="2203" spans="1:7" x14ac:dyDescent="0.3">
      <c r="A2203" s="19">
        <v>425</v>
      </c>
      <c r="B2203" s="19" t="s">
        <v>3179</v>
      </c>
      <c r="C2203" s="19" t="s">
        <v>899</v>
      </c>
      <c r="D2203" s="19" t="s">
        <v>1045</v>
      </c>
      <c r="E2203" s="19" t="s">
        <v>1118</v>
      </c>
      <c r="F2203" s="19">
        <v>0</v>
      </c>
      <c r="G2203" s="43">
        <v>0.12</v>
      </c>
    </row>
    <row r="2204" spans="1:7" x14ac:dyDescent="0.3">
      <c r="A2204" s="19">
        <v>1698</v>
      </c>
      <c r="B2204" s="19" t="s">
        <v>3180</v>
      </c>
      <c r="C2204" s="19" t="s">
        <v>899</v>
      </c>
      <c r="D2204" s="19" t="s">
        <v>1045</v>
      </c>
      <c r="E2204" s="19" t="s">
        <v>1118</v>
      </c>
      <c r="F2204" s="19">
        <v>0</v>
      </c>
      <c r="G2204" s="43">
        <v>0.12</v>
      </c>
    </row>
    <row r="2205" spans="1:7" x14ac:dyDescent="0.3">
      <c r="A2205" s="19">
        <v>2298</v>
      </c>
      <c r="B2205" s="19" t="s">
        <v>3181</v>
      </c>
      <c r="C2205" s="19" t="s">
        <v>899</v>
      </c>
      <c r="D2205" s="19" t="s">
        <v>1045</v>
      </c>
      <c r="E2205" s="19" t="s">
        <v>1118</v>
      </c>
      <c r="F2205" s="19">
        <v>0</v>
      </c>
      <c r="G2205" s="43">
        <v>0.12</v>
      </c>
    </row>
    <row r="2206" spans="1:7" x14ac:dyDescent="0.3">
      <c r="A2206" s="19">
        <v>1699</v>
      </c>
      <c r="B2206" s="19" t="s">
        <v>3182</v>
      </c>
      <c r="C2206" s="19" t="s">
        <v>899</v>
      </c>
      <c r="D2206" s="19" t="s">
        <v>1045</v>
      </c>
      <c r="E2206" s="19" t="s">
        <v>1118</v>
      </c>
      <c r="F2206" s="19">
        <v>0</v>
      </c>
      <c r="G2206" s="43">
        <v>0.2</v>
      </c>
    </row>
    <row r="2207" spans="1:7" x14ac:dyDescent="0.3">
      <c r="A2207" s="19">
        <v>1307</v>
      </c>
      <c r="B2207" s="19" t="s">
        <v>3183</v>
      </c>
      <c r="C2207" s="19" t="s">
        <v>899</v>
      </c>
      <c r="D2207" s="19" t="s">
        <v>1045</v>
      </c>
      <c r="E2207" s="19" t="s">
        <v>1118</v>
      </c>
      <c r="F2207" s="19">
        <v>0</v>
      </c>
      <c r="G2207" s="43">
        <v>0.12</v>
      </c>
    </row>
    <row r="2208" spans="1:7" x14ac:dyDescent="0.3">
      <c r="A2208" s="19">
        <v>1700</v>
      </c>
      <c r="B2208" s="19" t="s">
        <v>3184</v>
      </c>
      <c r="C2208" s="19" t="s">
        <v>899</v>
      </c>
      <c r="D2208" s="19" t="s">
        <v>1045</v>
      </c>
      <c r="E2208" s="19" t="s">
        <v>1118</v>
      </c>
      <c r="F2208" s="19">
        <v>0</v>
      </c>
      <c r="G2208" s="43">
        <v>0.12</v>
      </c>
    </row>
    <row r="2209" spans="1:7" x14ac:dyDescent="0.3">
      <c r="A2209" s="19">
        <v>1014</v>
      </c>
      <c r="B2209" s="19" t="s">
        <v>3185</v>
      </c>
      <c r="C2209" s="19" t="s">
        <v>899</v>
      </c>
      <c r="D2209" s="19" t="s">
        <v>1045</v>
      </c>
      <c r="E2209" s="19" t="s">
        <v>1118</v>
      </c>
      <c r="F2209" s="19">
        <v>0</v>
      </c>
      <c r="G2209" s="43">
        <v>0.12</v>
      </c>
    </row>
    <row r="2210" spans="1:7" x14ac:dyDescent="0.3">
      <c r="A2210" s="19">
        <v>2979</v>
      </c>
      <c r="B2210" s="19" t="s">
        <v>3186</v>
      </c>
      <c r="C2210" s="19" t="s">
        <v>899</v>
      </c>
      <c r="D2210" s="19" t="s">
        <v>1045</v>
      </c>
      <c r="E2210" s="19" t="s">
        <v>1118</v>
      </c>
      <c r="F2210" s="19">
        <v>0</v>
      </c>
      <c r="G2210" s="43">
        <v>0.12</v>
      </c>
    </row>
    <row r="2211" spans="1:7" x14ac:dyDescent="0.3">
      <c r="A2211" s="19">
        <v>2300</v>
      </c>
      <c r="B2211" s="19" t="s">
        <v>3187</v>
      </c>
      <c r="C2211" s="19" t="s">
        <v>899</v>
      </c>
      <c r="D2211" s="19" t="s">
        <v>1045</v>
      </c>
      <c r="E2211" s="19" t="s">
        <v>1118</v>
      </c>
      <c r="F2211" s="19">
        <v>0</v>
      </c>
      <c r="G2211" s="43">
        <v>0.12</v>
      </c>
    </row>
    <row r="2212" spans="1:7" x14ac:dyDescent="0.3">
      <c r="A2212" s="19">
        <v>2905</v>
      </c>
      <c r="B2212" s="19" t="s">
        <v>3188</v>
      </c>
      <c r="C2212" s="19" t="s">
        <v>899</v>
      </c>
      <c r="D2212" s="19" t="s">
        <v>1045</v>
      </c>
      <c r="E2212" s="19" t="s">
        <v>1118</v>
      </c>
      <c r="F2212" s="19">
        <v>0</v>
      </c>
      <c r="G2212" s="43">
        <v>0.2</v>
      </c>
    </row>
    <row r="2213" spans="1:7" x14ac:dyDescent="0.3">
      <c r="A2213" s="19">
        <v>2906</v>
      </c>
      <c r="B2213" s="19" t="s">
        <v>3189</v>
      </c>
      <c r="C2213" s="19" t="s">
        <v>899</v>
      </c>
      <c r="D2213" s="19" t="s">
        <v>1045</v>
      </c>
      <c r="E2213" s="19" t="s">
        <v>1118</v>
      </c>
      <c r="F2213" s="19">
        <v>0</v>
      </c>
      <c r="G2213" s="43">
        <v>0.12</v>
      </c>
    </row>
    <row r="2214" spans="1:7" x14ac:dyDescent="0.3">
      <c r="A2214" s="19">
        <v>988</v>
      </c>
      <c r="B2214" s="19" t="s">
        <v>3190</v>
      </c>
      <c r="C2214" s="19" t="s">
        <v>899</v>
      </c>
      <c r="D2214" s="19" t="s">
        <v>1045</v>
      </c>
      <c r="E2214" s="19" t="s">
        <v>1118</v>
      </c>
      <c r="F2214" s="19">
        <v>0</v>
      </c>
      <c r="G2214" s="43">
        <v>0.12</v>
      </c>
    </row>
    <row r="2215" spans="1:7" x14ac:dyDescent="0.3">
      <c r="A2215" s="19">
        <v>1142</v>
      </c>
      <c r="B2215" s="19" t="s">
        <v>3191</v>
      </c>
      <c r="C2215" s="19" t="s">
        <v>899</v>
      </c>
      <c r="D2215" s="19" t="s">
        <v>1045</v>
      </c>
      <c r="E2215" s="19" t="s">
        <v>1118</v>
      </c>
      <c r="F2215" s="19">
        <v>0</v>
      </c>
      <c r="G2215" s="43">
        <v>0.12</v>
      </c>
    </row>
    <row r="2216" spans="1:7" x14ac:dyDescent="0.3">
      <c r="A2216" s="19">
        <v>941</v>
      </c>
      <c r="B2216" s="19" t="s">
        <v>3192</v>
      </c>
      <c r="C2216" s="19" t="s">
        <v>899</v>
      </c>
      <c r="D2216" s="19" t="s">
        <v>1045</v>
      </c>
      <c r="E2216" s="19" t="s">
        <v>1118</v>
      </c>
      <c r="F2216" s="19">
        <v>0</v>
      </c>
      <c r="G2216" s="43">
        <v>0.2</v>
      </c>
    </row>
    <row r="2217" spans="1:7" x14ac:dyDescent="0.3">
      <c r="A2217" s="19">
        <v>2040</v>
      </c>
      <c r="B2217" s="19" t="s">
        <v>3193</v>
      </c>
      <c r="C2217" s="19" t="s">
        <v>899</v>
      </c>
      <c r="D2217" s="19" t="s">
        <v>1045</v>
      </c>
      <c r="E2217" s="19" t="s">
        <v>1118</v>
      </c>
      <c r="F2217" s="19">
        <v>0</v>
      </c>
      <c r="G2217" s="43">
        <v>0.12</v>
      </c>
    </row>
    <row r="2218" spans="1:7" x14ac:dyDescent="0.3">
      <c r="A2218" s="19">
        <v>4039</v>
      </c>
      <c r="B2218" s="19" t="s">
        <v>3194</v>
      </c>
      <c r="C2218" s="19" t="s">
        <v>899</v>
      </c>
      <c r="D2218" s="19" t="s">
        <v>1045</v>
      </c>
      <c r="E2218" s="19" t="s">
        <v>1118</v>
      </c>
      <c r="F2218" s="19">
        <v>0</v>
      </c>
      <c r="G2218" s="43">
        <v>0</v>
      </c>
    </row>
    <row r="2219" spans="1:7" x14ac:dyDescent="0.3">
      <c r="A2219" s="19">
        <v>4040</v>
      </c>
      <c r="B2219" s="19" t="s">
        <v>3195</v>
      </c>
      <c r="C2219" s="19" t="s">
        <v>899</v>
      </c>
      <c r="D2219" s="19" t="s">
        <v>1045</v>
      </c>
      <c r="E2219" s="19" t="s">
        <v>1118</v>
      </c>
      <c r="F2219" s="19">
        <v>0</v>
      </c>
      <c r="G2219" s="43">
        <v>0.12</v>
      </c>
    </row>
    <row r="2220" spans="1:7" x14ac:dyDescent="0.3">
      <c r="A2220" s="19">
        <v>1196</v>
      </c>
      <c r="B2220" s="19" t="s">
        <v>3196</v>
      </c>
      <c r="C2220" s="19" t="s">
        <v>899</v>
      </c>
      <c r="D2220" s="19" t="s">
        <v>1045</v>
      </c>
      <c r="E2220" s="19" t="s">
        <v>1118</v>
      </c>
      <c r="F2220" s="19">
        <v>0</v>
      </c>
      <c r="G2220" s="43">
        <v>0.2</v>
      </c>
    </row>
    <row r="2221" spans="1:7" x14ac:dyDescent="0.3">
      <c r="A2221" s="19">
        <v>2088</v>
      </c>
      <c r="B2221" s="19" t="s">
        <v>3197</v>
      </c>
      <c r="C2221" s="19" t="s">
        <v>899</v>
      </c>
      <c r="D2221" s="19" t="s">
        <v>1045</v>
      </c>
      <c r="E2221" s="19" t="s">
        <v>1118</v>
      </c>
      <c r="F2221" s="19">
        <v>0</v>
      </c>
      <c r="G2221" s="43">
        <v>0.12</v>
      </c>
    </row>
    <row r="2222" spans="1:7" x14ac:dyDescent="0.3">
      <c r="A2222" s="19">
        <v>1729</v>
      </c>
      <c r="B2222" s="19" t="s">
        <v>3198</v>
      </c>
      <c r="C2222" s="19" t="s">
        <v>899</v>
      </c>
      <c r="D2222" s="19" t="s">
        <v>1045</v>
      </c>
      <c r="E2222" s="19" t="s">
        <v>1118</v>
      </c>
      <c r="F2222" s="19">
        <v>0</v>
      </c>
      <c r="G2222" s="43">
        <v>0.12</v>
      </c>
    </row>
    <row r="2223" spans="1:7" x14ac:dyDescent="0.3">
      <c r="A2223" s="19">
        <v>942</v>
      </c>
      <c r="B2223" s="19" t="s">
        <v>3199</v>
      </c>
      <c r="C2223" s="19" t="s">
        <v>899</v>
      </c>
      <c r="D2223" s="19" t="s">
        <v>1045</v>
      </c>
      <c r="E2223" s="19" t="s">
        <v>1118</v>
      </c>
      <c r="F2223" s="19">
        <v>0</v>
      </c>
      <c r="G2223" s="43">
        <v>0.14000000000000001</v>
      </c>
    </row>
    <row r="2224" spans="1:7" x14ac:dyDescent="0.3">
      <c r="A2224" s="19">
        <v>1521</v>
      </c>
      <c r="B2224" s="19" t="s">
        <v>3200</v>
      </c>
      <c r="C2224" s="19" t="s">
        <v>899</v>
      </c>
      <c r="D2224" s="19" t="s">
        <v>1045</v>
      </c>
      <c r="E2224" s="19" t="s">
        <v>1118</v>
      </c>
      <c r="F2224" s="19">
        <v>0</v>
      </c>
      <c r="G2224" s="43">
        <v>0.2</v>
      </c>
    </row>
    <row r="2225" spans="1:7" x14ac:dyDescent="0.3">
      <c r="A2225" s="19">
        <v>1524</v>
      </c>
      <c r="B2225" s="19" t="s">
        <v>3201</v>
      </c>
      <c r="C2225" s="19" t="s">
        <v>899</v>
      </c>
      <c r="D2225" s="19" t="s">
        <v>1045</v>
      </c>
      <c r="E2225" s="19" t="s">
        <v>1118</v>
      </c>
      <c r="F2225" s="19">
        <v>0</v>
      </c>
      <c r="G2225" s="43">
        <v>0.14000000000000001</v>
      </c>
    </row>
    <row r="2226" spans="1:7" x14ac:dyDescent="0.3">
      <c r="A2226" s="19">
        <v>943</v>
      </c>
      <c r="B2226" s="19" t="s">
        <v>3202</v>
      </c>
      <c r="C2226" s="19" t="s">
        <v>899</v>
      </c>
      <c r="D2226" s="19" t="s">
        <v>1045</v>
      </c>
      <c r="E2226" s="19" t="s">
        <v>1118</v>
      </c>
      <c r="F2226" s="19">
        <v>0</v>
      </c>
      <c r="G2226" s="43">
        <v>0.12</v>
      </c>
    </row>
    <row r="2227" spans="1:7" x14ac:dyDescent="0.3">
      <c r="A2227" s="19">
        <v>944</v>
      </c>
      <c r="B2227" s="19" t="s">
        <v>3203</v>
      </c>
      <c r="C2227" s="19" t="s">
        <v>899</v>
      </c>
      <c r="D2227" s="19" t="s">
        <v>1045</v>
      </c>
      <c r="E2227" s="19" t="s">
        <v>1118</v>
      </c>
      <c r="F2227" s="19">
        <v>0</v>
      </c>
      <c r="G2227" s="43">
        <v>0.12</v>
      </c>
    </row>
    <row r="2228" spans="1:7" x14ac:dyDescent="0.3">
      <c r="A2228" s="19">
        <v>945</v>
      </c>
      <c r="B2228" s="19" t="s">
        <v>3204</v>
      </c>
      <c r="C2228" s="19" t="s">
        <v>899</v>
      </c>
      <c r="D2228" s="19" t="s">
        <v>1045</v>
      </c>
      <c r="E2228" s="19" t="s">
        <v>1118</v>
      </c>
      <c r="F2228" s="19">
        <v>0</v>
      </c>
      <c r="G2228" s="43">
        <v>0.12</v>
      </c>
    </row>
    <row r="2229" spans="1:7" x14ac:dyDescent="0.3">
      <c r="A2229" s="19">
        <v>2174</v>
      </c>
      <c r="B2229" s="19" t="s">
        <v>3205</v>
      </c>
      <c r="C2229" s="19" t="s">
        <v>899</v>
      </c>
      <c r="D2229" s="19" t="s">
        <v>1045</v>
      </c>
      <c r="E2229" s="19" t="s">
        <v>1118</v>
      </c>
      <c r="F2229" s="19">
        <v>0</v>
      </c>
      <c r="G2229" s="43">
        <v>0.12</v>
      </c>
    </row>
    <row r="2230" spans="1:7" x14ac:dyDescent="0.3">
      <c r="A2230" s="19">
        <v>946</v>
      </c>
      <c r="B2230" s="19" t="s">
        <v>3206</v>
      </c>
      <c r="C2230" s="19" t="s">
        <v>899</v>
      </c>
      <c r="D2230" s="19" t="s">
        <v>1045</v>
      </c>
      <c r="E2230" s="19" t="s">
        <v>1118</v>
      </c>
      <c r="F2230" s="19">
        <v>0</v>
      </c>
      <c r="G2230" s="43">
        <v>0.12</v>
      </c>
    </row>
    <row r="2231" spans="1:7" x14ac:dyDescent="0.3">
      <c r="A2231" s="19">
        <v>4088</v>
      </c>
      <c r="B2231" s="19" t="s">
        <v>3207</v>
      </c>
      <c r="C2231" s="19" t="s">
        <v>1338</v>
      </c>
      <c r="D2231" s="19" t="s">
        <v>1045</v>
      </c>
      <c r="E2231" s="19" t="s">
        <v>1118</v>
      </c>
      <c r="F2231" s="19">
        <v>0</v>
      </c>
      <c r="G2231" s="43">
        <v>0.2</v>
      </c>
    </row>
    <row r="2232" spans="1:7" x14ac:dyDescent="0.3">
      <c r="A2232" s="19">
        <v>1669</v>
      </c>
      <c r="B2232" s="19" t="s">
        <v>3208</v>
      </c>
      <c r="C2232" s="19" t="s">
        <v>899</v>
      </c>
      <c r="D2232" s="19" t="s">
        <v>1045</v>
      </c>
      <c r="E2232" s="19" t="s">
        <v>1118</v>
      </c>
      <c r="F2232" s="19">
        <v>0</v>
      </c>
      <c r="G2232" s="43">
        <v>0.12</v>
      </c>
    </row>
    <row r="2233" spans="1:7" x14ac:dyDescent="0.3">
      <c r="A2233" s="19">
        <v>947</v>
      </c>
      <c r="B2233" s="19" t="s">
        <v>3209</v>
      </c>
      <c r="C2233" s="19" t="s">
        <v>899</v>
      </c>
      <c r="D2233" s="19" t="s">
        <v>1045</v>
      </c>
      <c r="E2233" s="19" t="s">
        <v>1118</v>
      </c>
      <c r="F2233" s="19">
        <v>0</v>
      </c>
      <c r="G2233" s="43">
        <v>0.2</v>
      </c>
    </row>
    <row r="2234" spans="1:7" x14ac:dyDescent="0.3">
      <c r="A2234" s="19">
        <v>1702</v>
      </c>
      <c r="B2234" s="19" t="s">
        <v>3210</v>
      </c>
      <c r="C2234" s="19" t="s">
        <v>899</v>
      </c>
      <c r="D2234" s="19" t="s">
        <v>1045</v>
      </c>
      <c r="E2234" s="19" t="s">
        <v>1118</v>
      </c>
      <c r="F2234" s="19">
        <v>0</v>
      </c>
      <c r="G2234" s="43">
        <v>0.12</v>
      </c>
    </row>
    <row r="2235" spans="1:7" x14ac:dyDescent="0.3">
      <c r="A2235" s="19">
        <v>2881</v>
      </c>
      <c r="B2235" s="19" t="s">
        <v>3211</v>
      </c>
      <c r="C2235" s="19" t="s">
        <v>899</v>
      </c>
      <c r="D2235" s="19" t="s">
        <v>1045</v>
      </c>
      <c r="E2235" s="19" t="s">
        <v>1118</v>
      </c>
      <c r="F2235" s="19">
        <v>0</v>
      </c>
      <c r="G2235" s="43">
        <v>0.12</v>
      </c>
    </row>
    <row r="2236" spans="1:7" x14ac:dyDescent="0.3">
      <c r="A2236" s="19">
        <v>948</v>
      </c>
      <c r="B2236" s="19" t="s">
        <v>3212</v>
      </c>
      <c r="C2236" s="19" t="s">
        <v>899</v>
      </c>
      <c r="D2236" s="19" t="s">
        <v>1045</v>
      </c>
      <c r="E2236" s="19" t="s">
        <v>1118</v>
      </c>
      <c r="F2236" s="19">
        <v>0</v>
      </c>
      <c r="G2236" s="43">
        <v>0.12</v>
      </c>
    </row>
    <row r="2237" spans="1:7" x14ac:dyDescent="0.3">
      <c r="A2237" s="19">
        <v>1668</v>
      </c>
      <c r="B2237" s="19" t="s">
        <v>3213</v>
      </c>
      <c r="C2237" s="19" t="s">
        <v>899</v>
      </c>
      <c r="D2237" s="19" t="s">
        <v>1045</v>
      </c>
      <c r="E2237" s="19" t="s">
        <v>1118</v>
      </c>
      <c r="F2237" s="19">
        <v>0</v>
      </c>
      <c r="G2237" s="43">
        <v>0.12</v>
      </c>
    </row>
    <row r="2238" spans="1:7" x14ac:dyDescent="0.3">
      <c r="A2238" s="19">
        <v>1701</v>
      </c>
      <c r="B2238" s="19" t="s">
        <v>3214</v>
      </c>
      <c r="C2238" s="19" t="s">
        <v>899</v>
      </c>
      <c r="D2238" s="19" t="s">
        <v>1045</v>
      </c>
      <c r="E2238" s="19" t="s">
        <v>1118</v>
      </c>
      <c r="F2238" s="19">
        <v>0</v>
      </c>
      <c r="G2238" s="43">
        <v>0.12</v>
      </c>
    </row>
    <row r="2239" spans="1:7" x14ac:dyDescent="0.3">
      <c r="A2239" s="19">
        <v>1703</v>
      </c>
      <c r="B2239" s="19" t="s">
        <v>3215</v>
      </c>
      <c r="C2239" s="19" t="s">
        <v>899</v>
      </c>
      <c r="D2239" s="19" t="s">
        <v>1045</v>
      </c>
      <c r="E2239" s="19" t="s">
        <v>1118</v>
      </c>
      <c r="F2239" s="19">
        <v>0</v>
      </c>
      <c r="G2239" s="43">
        <v>0.14000000000000001</v>
      </c>
    </row>
    <row r="2240" spans="1:7" x14ac:dyDescent="0.3">
      <c r="A2240" s="19">
        <v>1047</v>
      </c>
      <c r="B2240" s="19" t="s">
        <v>3216</v>
      </c>
      <c r="C2240" s="19" t="s">
        <v>899</v>
      </c>
      <c r="D2240" s="19" t="s">
        <v>1045</v>
      </c>
      <c r="E2240" s="19" t="s">
        <v>1118</v>
      </c>
      <c r="F2240" s="19">
        <v>0</v>
      </c>
      <c r="G2240" s="43">
        <v>0.12</v>
      </c>
    </row>
    <row r="2241" spans="1:7" x14ac:dyDescent="0.3">
      <c r="A2241" s="19">
        <v>3819</v>
      </c>
      <c r="B2241" s="19" t="s">
        <v>3217</v>
      </c>
      <c r="C2241" s="19" t="s">
        <v>899</v>
      </c>
      <c r="D2241" s="19" t="s">
        <v>1045</v>
      </c>
      <c r="E2241" s="19" t="s">
        <v>1118</v>
      </c>
      <c r="F2241" s="19">
        <v>0</v>
      </c>
      <c r="G2241" s="43">
        <v>0.2</v>
      </c>
    </row>
    <row r="2242" spans="1:7" x14ac:dyDescent="0.3">
      <c r="A2242" s="19">
        <v>949</v>
      </c>
      <c r="B2242" s="19" t="s">
        <v>3218</v>
      </c>
      <c r="C2242" s="19" t="s">
        <v>899</v>
      </c>
      <c r="D2242" s="19" t="s">
        <v>1045</v>
      </c>
      <c r="E2242" s="19" t="s">
        <v>1118</v>
      </c>
      <c r="F2242" s="19">
        <v>0</v>
      </c>
      <c r="G2242" s="43">
        <v>0.12</v>
      </c>
    </row>
    <row r="2243" spans="1:7" x14ac:dyDescent="0.3">
      <c r="A2243" s="19">
        <v>4009</v>
      </c>
      <c r="B2243" s="19" t="s">
        <v>3219</v>
      </c>
      <c r="C2243" s="19" t="s">
        <v>899</v>
      </c>
      <c r="D2243" s="19" t="s">
        <v>1045</v>
      </c>
      <c r="E2243" s="19" t="s">
        <v>1118</v>
      </c>
      <c r="F2243" s="19">
        <v>0</v>
      </c>
      <c r="G2243" s="43">
        <v>0.2</v>
      </c>
    </row>
    <row r="2244" spans="1:7" x14ac:dyDescent="0.3">
      <c r="A2244" s="19">
        <v>1173</v>
      </c>
      <c r="B2244" s="19" t="s">
        <v>3220</v>
      </c>
      <c r="C2244" s="19" t="s">
        <v>899</v>
      </c>
      <c r="D2244" s="19" t="s">
        <v>1045</v>
      </c>
      <c r="E2244" s="19" t="s">
        <v>1118</v>
      </c>
      <c r="F2244" s="19">
        <v>0</v>
      </c>
      <c r="G2244" s="43">
        <v>0.12</v>
      </c>
    </row>
    <row r="2245" spans="1:7" x14ac:dyDescent="0.3">
      <c r="A2245" s="19">
        <v>1015</v>
      </c>
      <c r="B2245" s="19" t="s">
        <v>3221</v>
      </c>
      <c r="C2245" s="19" t="s">
        <v>899</v>
      </c>
      <c r="D2245" s="19" t="s">
        <v>1045</v>
      </c>
      <c r="E2245" s="19" t="s">
        <v>1118</v>
      </c>
      <c r="F2245" s="19">
        <v>0</v>
      </c>
      <c r="G2245" s="43">
        <v>0.12</v>
      </c>
    </row>
    <row r="2246" spans="1:7" x14ac:dyDescent="0.3">
      <c r="A2246" s="19">
        <v>2758</v>
      </c>
      <c r="B2246" s="19" t="s">
        <v>3222</v>
      </c>
      <c r="C2246" s="19" t="s">
        <v>899</v>
      </c>
      <c r="D2246" s="19" t="s">
        <v>1045</v>
      </c>
      <c r="E2246" s="19" t="s">
        <v>1118</v>
      </c>
      <c r="F2246" s="19">
        <v>0</v>
      </c>
      <c r="G2246" s="43">
        <v>0.12</v>
      </c>
    </row>
    <row r="2247" spans="1:7" x14ac:dyDescent="0.3">
      <c r="A2247" s="19">
        <v>1670</v>
      </c>
      <c r="B2247" s="19" t="s">
        <v>3223</v>
      </c>
      <c r="C2247" s="19" t="s">
        <v>899</v>
      </c>
      <c r="D2247" s="19" t="s">
        <v>1045</v>
      </c>
      <c r="E2247" s="19" t="s">
        <v>1118</v>
      </c>
      <c r="F2247" s="19">
        <v>0</v>
      </c>
      <c r="G2247" s="43">
        <v>0.12</v>
      </c>
    </row>
    <row r="2248" spans="1:7" x14ac:dyDescent="0.3">
      <c r="A2248" s="19">
        <v>2650</v>
      </c>
      <c r="B2248" s="19" t="s">
        <v>3224</v>
      </c>
      <c r="C2248" s="19" t="s">
        <v>899</v>
      </c>
      <c r="D2248" s="19" t="s">
        <v>1045</v>
      </c>
      <c r="E2248" s="19" t="s">
        <v>1118</v>
      </c>
      <c r="F2248" s="19">
        <v>0</v>
      </c>
      <c r="G2248" s="43">
        <v>0.35</v>
      </c>
    </row>
    <row r="2249" spans="1:7" x14ac:dyDescent="0.3">
      <c r="A2249" s="19">
        <v>2186</v>
      </c>
      <c r="B2249" s="19" t="s">
        <v>3225</v>
      </c>
      <c r="C2249" s="19" t="s">
        <v>899</v>
      </c>
      <c r="D2249" s="19" t="s">
        <v>1045</v>
      </c>
      <c r="E2249" s="19" t="s">
        <v>1118</v>
      </c>
      <c r="F2249" s="19">
        <v>0</v>
      </c>
      <c r="G2249" s="43">
        <v>0.12</v>
      </c>
    </row>
    <row r="2250" spans="1:7" x14ac:dyDescent="0.3">
      <c r="A2250" s="19">
        <v>1704</v>
      </c>
      <c r="B2250" s="19" t="s">
        <v>3226</v>
      </c>
      <c r="C2250" s="19" t="s">
        <v>899</v>
      </c>
      <c r="D2250" s="19" t="s">
        <v>1045</v>
      </c>
      <c r="E2250" s="19" t="s">
        <v>1118</v>
      </c>
      <c r="F2250" s="19">
        <v>0</v>
      </c>
      <c r="G2250" s="43">
        <v>0.12</v>
      </c>
    </row>
    <row r="2251" spans="1:7" x14ac:dyDescent="0.3">
      <c r="A2251" s="19">
        <v>1671</v>
      </c>
      <c r="B2251" s="19" t="s">
        <v>3227</v>
      </c>
      <c r="C2251" s="19" t="s">
        <v>899</v>
      </c>
      <c r="D2251" s="19" t="s">
        <v>1045</v>
      </c>
      <c r="E2251" s="19" t="s">
        <v>1118</v>
      </c>
      <c r="F2251" s="19">
        <v>0</v>
      </c>
      <c r="G2251" s="43">
        <v>0.22</v>
      </c>
    </row>
    <row r="2252" spans="1:7" x14ac:dyDescent="0.3">
      <c r="A2252" s="19">
        <v>1672</v>
      </c>
      <c r="B2252" s="19" t="s">
        <v>3228</v>
      </c>
      <c r="C2252" s="19" t="s">
        <v>899</v>
      </c>
      <c r="D2252" s="19" t="s">
        <v>1045</v>
      </c>
      <c r="E2252" s="19" t="s">
        <v>1118</v>
      </c>
      <c r="F2252" s="19">
        <v>0</v>
      </c>
      <c r="G2252" s="43">
        <v>0.12</v>
      </c>
    </row>
    <row r="2253" spans="1:7" x14ac:dyDescent="0.3">
      <c r="A2253" s="19">
        <v>1016</v>
      </c>
      <c r="B2253" s="19" t="s">
        <v>3229</v>
      </c>
      <c r="C2253" s="19" t="s">
        <v>899</v>
      </c>
      <c r="D2253" s="19" t="s">
        <v>1045</v>
      </c>
      <c r="E2253" s="19" t="s">
        <v>1118</v>
      </c>
      <c r="F2253" s="19">
        <v>0</v>
      </c>
      <c r="G2253" s="43">
        <v>0.12</v>
      </c>
    </row>
    <row r="2254" spans="1:7" x14ac:dyDescent="0.3">
      <c r="A2254" s="19">
        <v>2581</v>
      </c>
      <c r="B2254" s="19" t="s">
        <v>3230</v>
      </c>
      <c r="C2254" s="19" t="s">
        <v>899</v>
      </c>
      <c r="D2254" s="19" t="s">
        <v>1045</v>
      </c>
      <c r="E2254" s="19" t="s">
        <v>1118</v>
      </c>
      <c r="F2254" s="19">
        <v>0</v>
      </c>
      <c r="G2254" s="43">
        <v>0.12</v>
      </c>
    </row>
    <row r="2255" spans="1:7" x14ac:dyDescent="0.3">
      <c r="A2255" s="19">
        <v>1174</v>
      </c>
      <c r="B2255" s="19" t="s">
        <v>3231</v>
      </c>
      <c r="C2255" s="19" t="s">
        <v>899</v>
      </c>
      <c r="D2255" s="19" t="s">
        <v>1045</v>
      </c>
      <c r="E2255" s="19" t="s">
        <v>1118</v>
      </c>
      <c r="F2255" s="19">
        <v>0</v>
      </c>
      <c r="G2255" s="43">
        <v>0.12</v>
      </c>
    </row>
    <row r="2256" spans="1:7" x14ac:dyDescent="0.3">
      <c r="A2256" s="19">
        <v>2301</v>
      </c>
      <c r="B2256" s="19" t="s">
        <v>3232</v>
      </c>
      <c r="C2256" s="19" t="s">
        <v>899</v>
      </c>
      <c r="D2256" s="19" t="s">
        <v>1045</v>
      </c>
      <c r="E2256" s="19" t="s">
        <v>1118</v>
      </c>
      <c r="F2256" s="19">
        <v>0</v>
      </c>
      <c r="G2256" s="43">
        <v>0.12</v>
      </c>
    </row>
    <row r="2257" spans="1:7" x14ac:dyDescent="0.3">
      <c r="A2257" s="19">
        <v>2076</v>
      </c>
      <c r="B2257" s="19" t="s">
        <v>3233</v>
      </c>
      <c r="C2257" s="19" t="s">
        <v>899</v>
      </c>
      <c r="D2257" s="19" t="s">
        <v>1045</v>
      </c>
      <c r="E2257" s="19" t="s">
        <v>1118</v>
      </c>
      <c r="F2257" s="19">
        <v>0</v>
      </c>
      <c r="G2257" s="43">
        <v>0.14000000000000001</v>
      </c>
    </row>
    <row r="2258" spans="1:7" x14ac:dyDescent="0.3">
      <c r="A2258" s="19">
        <v>2302</v>
      </c>
      <c r="B2258" s="19" t="s">
        <v>3234</v>
      </c>
      <c r="C2258" s="19" t="s">
        <v>899</v>
      </c>
      <c r="D2258" s="19" t="s">
        <v>1045</v>
      </c>
      <c r="E2258" s="19" t="s">
        <v>1118</v>
      </c>
      <c r="F2258" s="19">
        <v>0</v>
      </c>
      <c r="G2258" s="43">
        <v>0.12</v>
      </c>
    </row>
    <row r="2259" spans="1:7" x14ac:dyDescent="0.3">
      <c r="A2259" s="19">
        <v>2042</v>
      </c>
      <c r="B2259" s="19" t="s">
        <v>3235</v>
      </c>
      <c r="C2259" s="19" t="s">
        <v>899</v>
      </c>
      <c r="D2259" s="19" t="s">
        <v>1045</v>
      </c>
      <c r="E2259" s="19" t="s">
        <v>1118</v>
      </c>
      <c r="F2259" s="19">
        <v>0</v>
      </c>
      <c r="G2259" s="43">
        <v>0.12</v>
      </c>
    </row>
    <row r="2260" spans="1:7" x14ac:dyDescent="0.3">
      <c r="A2260" s="19">
        <v>2093</v>
      </c>
      <c r="B2260" s="19" t="s">
        <v>3236</v>
      </c>
      <c r="C2260" s="19" t="s">
        <v>899</v>
      </c>
      <c r="D2260" s="19" t="s">
        <v>1045</v>
      </c>
      <c r="E2260" s="19" t="s">
        <v>1118</v>
      </c>
      <c r="F2260" s="19">
        <v>0</v>
      </c>
      <c r="G2260" s="43">
        <v>0.12</v>
      </c>
    </row>
    <row r="2261" spans="1:7" x14ac:dyDescent="0.3">
      <c r="A2261" s="19">
        <v>3351</v>
      </c>
      <c r="B2261" s="19" t="s">
        <v>3237</v>
      </c>
      <c r="C2261" s="19" t="s">
        <v>899</v>
      </c>
      <c r="D2261" s="19" t="s">
        <v>1045</v>
      </c>
      <c r="E2261" s="19" t="s">
        <v>1118</v>
      </c>
      <c r="F2261" s="19">
        <v>0</v>
      </c>
      <c r="G2261" s="43">
        <v>0.12</v>
      </c>
    </row>
    <row r="2262" spans="1:7" x14ac:dyDescent="0.3">
      <c r="A2262" s="19">
        <v>950</v>
      </c>
      <c r="B2262" s="19" t="s">
        <v>3238</v>
      </c>
      <c r="C2262" s="19" t="s">
        <v>899</v>
      </c>
      <c r="D2262" s="19" t="s">
        <v>1045</v>
      </c>
      <c r="E2262" s="19" t="s">
        <v>1118</v>
      </c>
      <c r="F2262" s="19">
        <v>0</v>
      </c>
      <c r="G2262" s="43">
        <v>0.14000000000000001</v>
      </c>
    </row>
    <row r="2263" spans="1:7" x14ac:dyDescent="0.3">
      <c r="A2263" s="19">
        <v>3352</v>
      </c>
      <c r="B2263" s="19" t="s">
        <v>3239</v>
      </c>
      <c r="C2263" s="19" t="s">
        <v>899</v>
      </c>
      <c r="D2263" s="19" t="s">
        <v>1045</v>
      </c>
      <c r="E2263" s="19" t="s">
        <v>1118</v>
      </c>
      <c r="F2263" s="19">
        <v>0</v>
      </c>
      <c r="G2263" s="43">
        <v>0.12</v>
      </c>
    </row>
    <row r="2264" spans="1:7" x14ac:dyDescent="0.3">
      <c r="A2264" s="19">
        <v>951</v>
      </c>
      <c r="B2264" s="19" t="s">
        <v>3240</v>
      </c>
      <c r="C2264" s="19" t="s">
        <v>899</v>
      </c>
      <c r="D2264" s="19" t="s">
        <v>1045</v>
      </c>
      <c r="E2264" s="19" t="s">
        <v>1118</v>
      </c>
      <c r="F2264" s="19">
        <v>0</v>
      </c>
      <c r="G2264" s="43">
        <v>0.2</v>
      </c>
    </row>
    <row r="2265" spans="1:7" x14ac:dyDescent="0.3">
      <c r="A2265" s="19">
        <v>3766</v>
      </c>
      <c r="B2265" s="19" t="s">
        <v>3241</v>
      </c>
      <c r="C2265" s="19" t="s">
        <v>899</v>
      </c>
      <c r="D2265" s="19" t="s">
        <v>1045</v>
      </c>
      <c r="E2265" s="19" t="s">
        <v>1118</v>
      </c>
      <c r="F2265" s="19">
        <v>0</v>
      </c>
      <c r="G2265" s="43">
        <v>0.2</v>
      </c>
    </row>
    <row r="2266" spans="1:7" x14ac:dyDescent="0.3">
      <c r="A2266" s="19">
        <v>2304</v>
      </c>
      <c r="B2266" s="19" t="s">
        <v>3242</v>
      </c>
      <c r="C2266" s="19" t="s">
        <v>899</v>
      </c>
      <c r="D2266" s="19" t="s">
        <v>1045</v>
      </c>
      <c r="E2266" s="19" t="s">
        <v>1118</v>
      </c>
      <c r="F2266" s="19">
        <v>0</v>
      </c>
      <c r="G2266" s="43">
        <v>0.2</v>
      </c>
    </row>
    <row r="2267" spans="1:7" x14ac:dyDescent="0.3">
      <c r="A2267" s="19">
        <v>2492</v>
      </c>
      <c r="B2267" s="19" t="s">
        <v>3243</v>
      </c>
      <c r="C2267" s="19" t="s">
        <v>899</v>
      </c>
      <c r="D2267" s="19" t="s">
        <v>1045</v>
      </c>
      <c r="E2267" s="19" t="s">
        <v>1118</v>
      </c>
      <c r="F2267" s="19">
        <v>0</v>
      </c>
      <c r="G2267" s="43">
        <v>0.12</v>
      </c>
    </row>
    <row r="2268" spans="1:7" x14ac:dyDescent="0.3">
      <c r="A2268" s="19">
        <v>3459</v>
      </c>
      <c r="B2268" s="19" t="s">
        <v>3244</v>
      </c>
      <c r="C2268" s="19" t="s">
        <v>899</v>
      </c>
      <c r="D2268" s="19" t="s">
        <v>1045</v>
      </c>
      <c r="E2268" s="19" t="s">
        <v>1118</v>
      </c>
      <c r="F2268" s="19">
        <v>0</v>
      </c>
      <c r="G2268" s="43">
        <v>0.2</v>
      </c>
    </row>
    <row r="2269" spans="1:7" x14ac:dyDescent="0.3">
      <c r="A2269" s="19">
        <v>4038</v>
      </c>
      <c r="B2269" s="19" t="s">
        <v>3245</v>
      </c>
      <c r="C2269" s="19" t="s">
        <v>899</v>
      </c>
      <c r="D2269" s="19" t="s">
        <v>1045</v>
      </c>
      <c r="E2269" s="19" t="s">
        <v>1118</v>
      </c>
      <c r="F2269" s="19">
        <v>0</v>
      </c>
      <c r="G2269" s="43">
        <v>0.2</v>
      </c>
    </row>
    <row r="2270" spans="1:7" x14ac:dyDescent="0.3">
      <c r="A2270" s="19">
        <v>1175</v>
      </c>
      <c r="B2270" s="19" t="s">
        <v>3246</v>
      </c>
      <c r="C2270" s="19" t="s">
        <v>899</v>
      </c>
      <c r="D2270" s="19" t="s">
        <v>1045</v>
      </c>
      <c r="E2270" s="19" t="s">
        <v>1118</v>
      </c>
      <c r="F2270" s="19">
        <v>0</v>
      </c>
      <c r="G2270" s="43">
        <v>0.12</v>
      </c>
    </row>
    <row r="2271" spans="1:7" x14ac:dyDescent="0.3">
      <c r="A2271" s="19">
        <v>1673</v>
      </c>
      <c r="B2271" s="19" t="s">
        <v>3247</v>
      </c>
      <c r="C2271" s="19" t="s">
        <v>899</v>
      </c>
      <c r="D2271" s="19" t="s">
        <v>1045</v>
      </c>
      <c r="E2271" s="19" t="s">
        <v>1118</v>
      </c>
      <c r="F2271" s="19">
        <v>0</v>
      </c>
      <c r="G2271" s="43">
        <v>0.12</v>
      </c>
    </row>
    <row r="2272" spans="1:7" x14ac:dyDescent="0.3">
      <c r="A2272" s="19">
        <v>952</v>
      </c>
      <c r="B2272" s="19" t="s">
        <v>3248</v>
      </c>
      <c r="C2272" s="19" t="s">
        <v>899</v>
      </c>
      <c r="D2272" s="19" t="s">
        <v>1045</v>
      </c>
      <c r="E2272" s="19" t="s">
        <v>1118</v>
      </c>
      <c r="F2272" s="19">
        <v>0</v>
      </c>
      <c r="G2272" s="43">
        <v>0.12</v>
      </c>
    </row>
    <row r="2273" spans="1:7" x14ac:dyDescent="0.3">
      <c r="A2273" s="19">
        <v>1527</v>
      </c>
      <c r="B2273" s="19" t="s">
        <v>3249</v>
      </c>
      <c r="C2273" s="19" t="s">
        <v>899</v>
      </c>
      <c r="D2273" s="19" t="s">
        <v>1045</v>
      </c>
      <c r="E2273" s="19" t="s">
        <v>1118</v>
      </c>
      <c r="F2273" s="19">
        <v>0</v>
      </c>
      <c r="G2273" s="43">
        <v>0.12</v>
      </c>
    </row>
    <row r="2274" spans="1:7" x14ac:dyDescent="0.3">
      <c r="A2274" s="19">
        <v>3723</v>
      </c>
      <c r="B2274" s="19" t="s">
        <v>3250</v>
      </c>
      <c r="C2274" s="19" t="s">
        <v>899</v>
      </c>
      <c r="D2274" s="19" t="s">
        <v>1045</v>
      </c>
      <c r="E2274" s="19" t="s">
        <v>1118</v>
      </c>
      <c r="F2274" s="19">
        <v>0</v>
      </c>
      <c r="G2274" s="43">
        <v>0.2</v>
      </c>
    </row>
    <row r="2275" spans="1:7" x14ac:dyDescent="0.3">
      <c r="A2275" s="19">
        <v>1051</v>
      </c>
      <c r="B2275" s="19" t="s">
        <v>3251</v>
      </c>
      <c r="C2275" s="19" t="s">
        <v>899</v>
      </c>
      <c r="D2275" s="19" t="s">
        <v>1045</v>
      </c>
      <c r="E2275" s="19" t="s">
        <v>1118</v>
      </c>
      <c r="F2275" s="19">
        <v>0</v>
      </c>
      <c r="G2275" s="43">
        <v>0.12</v>
      </c>
    </row>
    <row r="2276" spans="1:7" x14ac:dyDescent="0.3">
      <c r="A2276" s="19">
        <v>3353</v>
      </c>
      <c r="B2276" s="19" t="s">
        <v>3252</v>
      </c>
      <c r="C2276" s="19" t="s">
        <v>899</v>
      </c>
      <c r="D2276" s="19" t="s">
        <v>1045</v>
      </c>
      <c r="E2276" s="19" t="s">
        <v>1118</v>
      </c>
      <c r="F2276" s="19">
        <v>0</v>
      </c>
      <c r="G2276" s="43">
        <v>0.12</v>
      </c>
    </row>
    <row r="2277" spans="1:7" x14ac:dyDescent="0.3">
      <c r="A2277" s="19">
        <v>3039</v>
      </c>
      <c r="B2277" s="19" t="s">
        <v>3253</v>
      </c>
      <c r="C2277" s="19" t="s">
        <v>899</v>
      </c>
      <c r="D2277" s="19" t="s">
        <v>1045</v>
      </c>
      <c r="E2277" s="19" t="s">
        <v>1118</v>
      </c>
      <c r="F2277" s="19">
        <v>0</v>
      </c>
      <c r="G2277" s="43">
        <v>0.12</v>
      </c>
    </row>
    <row r="2278" spans="1:7" x14ac:dyDescent="0.3">
      <c r="A2278" s="19">
        <v>3346</v>
      </c>
      <c r="B2278" s="19" t="s">
        <v>3254</v>
      </c>
      <c r="C2278" s="19" t="s">
        <v>899</v>
      </c>
      <c r="D2278" s="19" t="s">
        <v>1045</v>
      </c>
      <c r="E2278" s="19" t="s">
        <v>1118</v>
      </c>
      <c r="F2278" s="19">
        <v>0</v>
      </c>
      <c r="G2278" s="43">
        <v>0.2</v>
      </c>
    </row>
    <row r="2279" spans="1:7" x14ac:dyDescent="0.3">
      <c r="A2279" s="19">
        <v>3010</v>
      </c>
      <c r="B2279" s="19" t="s">
        <v>3255</v>
      </c>
      <c r="C2279" s="19" t="s">
        <v>899</v>
      </c>
      <c r="D2279" s="19" t="s">
        <v>1045</v>
      </c>
      <c r="E2279" s="19" t="s">
        <v>1118</v>
      </c>
      <c r="F2279" s="19">
        <v>0</v>
      </c>
      <c r="G2279" s="43">
        <v>0.12</v>
      </c>
    </row>
    <row r="2280" spans="1:7" x14ac:dyDescent="0.3">
      <c r="A2280" s="19">
        <v>662</v>
      </c>
      <c r="B2280" s="19" t="s">
        <v>3256</v>
      </c>
      <c r="C2280" s="19" t="s">
        <v>899</v>
      </c>
      <c r="D2280" s="19" t="s">
        <v>1045</v>
      </c>
      <c r="E2280" s="19" t="s">
        <v>1118</v>
      </c>
      <c r="F2280" s="19">
        <v>0</v>
      </c>
      <c r="G2280" s="43">
        <v>0.12</v>
      </c>
    </row>
    <row r="2281" spans="1:7" x14ac:dyDescent="0.3">
      <c r="A2281" s="19">
        <v>2159</v>
      </c>
      <c r="B2281" s="19" t="s">
        <v>3257</v>
      </c>
      <c r="C2281" s="19" t="s">
        <v>899</v>
      </c>
      <c r="D2281" s="19" t="s">
        <v>1045</v>
      </c>
      <c r="E2281" s="19" t="s">
        <v>1118</v>
      </c>
      <c r="F2281" s="19">
        <v>0</v>
      </c>
      <c r="G2281" s="43">
        <v>0.2</v>
      </c>
    </row>
    <row r="2282" spans="1:7" x14ac:dyDescent="0.3">
      <c r="A2282" s="19">
        <v>1674</v>
      </c>
      <c r="B2282" s="19" t="s">
        <v>3258</v>
      </c>
      <c r="C2282" s="19" t="s">
        <v>899</v>
      </c>
      <c r="D2282" s="19" t="s">
        <v>1045</v>
      </c>
      <c r="E2282" s="19" t="s">
        <v>1118</v>
      </c>
      <c r="F2282" s="19">
        <v>0</v>
      </c>
      <c r="G2282" s="43">
        <v>0.12</v>
      </c>
    </row>
    <row r="2283" spans="1:7" x14ac:dyDescent="0.3">
      <c r="A2283" s="19">
        <v>3354</v>
      </c>
      <c r="B2283" s="19" t="s">
        <v>3259</v>
      </c>
      <c r="C2283" s="19" t="s">
        <v>899</v>
      </c>
      <c r="D2283" s="19" t="s">
        <v>1045</v>
      </c>
      <c r="E2283" s="19" t="s">
        <v>1118</v>
      </c>
      <c r="F2283" s="19">
        <v>0</v>
      </c>
      <c r="G2283" s="43">
        <v>0.2</v>
      </c>
    </row>
    <row r="2284" spans="1:7" x14ac:dyDescent="0.3">
      <c r="A2284" s="19">
        <v>3151</v>
      </c>
      <c r="B2284" s="19" t="s">
        <v>3260</v>
      </c>
      <c r="C2284" s="19" t="s">
        <v>899</v>
      </c>
      <c r="D2284" s="19" t="s">
        <v>1045</v>
      </c>
      <c r="E2284" s="19" t="s">
        <v>1118</v>
      </c>
      <c r="F2284" s="19">
        <v>0</v>
      </c>
      <c r="G2284" s="43">
        <v>0.12</v>
      </c>
    </row>
    <row r="2285" spans="1:7" x14ac:dyDescent="0.3">
      <c r="A2285" s="19">
        <v>953</v>
      </c>
      <c r="B2285" s="19" t="s">
        <v>3261</v>
      </c>
      <c r="C2285" s="19" t="s">
        <v>899</v>
      </c>
      <c r="D2285" s="19" t="s">
        <v>1045</v>
      </c>
      <c r="E2285" s="19" t="s">
        <v>1118</v>
      </c>
      <c r="F2285" s="19">
        <v>0</v>
      </c>
      <c r="G2285" s="43">
        <v>0.12</v>
      </c>
    </row>
    <row r="2286" spans="1:7" x14ac:dyDescent="0.3">
      <c r="A2286" s="19">
        <v>2947</v>
      </c>
      <c r="B2286" s="19" t="s">
        <v>3262</v>
      </c>
      <c r="C2286" s="19" t="s">
        <v>899</v>
      </c>
      <c r="D2286" s="19" t="s">
        <v>1045</v>
      </c>
      <c r="E2286" s="19" t="s">
        <v>1118</v>
      </c>
      <c r="F2286" s="19">
        <v>0</v>
      </c>
      <c r="G2286" s="43">
        <v>0.2</v>
      </c>
    </row>
    <row r="2287" spans="1:7" x14ac:dyDescent="0.3">
      <c r="A2287" s="19">
        <v>1017</v>
      </c>
      <c r="B2287" s="19" t="s">
        <v>3263</v>
      </c>
      <c r="C2287" s="19" t="s">
        <v>899</v>
      </c>
      <c r="D2287" s="19" t="s">
        <v>1045</v>
      </c>
      <c r="E2287" s="19" t="s">
        <v>1118</v>
      </c>
      <c r="F2287" s="19">
        <v>0</v>
      </c>
      <c r="G2287" s="43">
        <v>0.12</v>
      </c>
    </row>
    <row r="2288" spans="1:7" x14ac:dyDescent="0.3">
      <c r="A2288" s="19">
        <v>1018</v>
      </c>
      <c r="B2288" s="19" t="s">
        <v>3264</v>
      </c>
      <c r="C2288" s="19" t="s">
        <v>899</v>
      </c>
      <c r="D2288" s="19" t="s">
        <v>1045</v>
      </c>
      <c r="E2288" s="19" t="s">
        <v>1118</v>
      </c>
      <c r="F2288" s="19">
        <v>0</v>
      </c>
      <c r="G2288" s="43">
        <v>0.12</v>
      </c>
    </row>
    <row r="2289" spans="1:7" x14ac:dyDescent="0.3">
      <c r="A2289" s="19">
        <v>954</v>
      </c>
      <c r="B2289" s="19" t="s">
        <v>3265</v>
      </c>
      <c r="C2289" s="19" t="s">
        <v>899</v>
      </c>
      <c r="D2289" s="19" t="s">
        <v>1045</v>
      </c>
      <c r="E2289" s="19" t="s">
        <v>1118</v>
      </c>
      <c r="F2289" s="19">
        <v>0</v>
      </c>
      <c r="G2289" s="43">
        <v>0.12</v>
      </c>
    </row>
    <row r="2290" spans="1:7" x14ac:dyDescent="0.3">
      <c r="A2290" s="19">
        <v>1528</v>
      </c>
      <c r="B2290" s="19" t="s">
        <v>3266</v>
      </c>
      <c r="C2290" s="19" t="s">
        <v>899</v>
      </c>
      <c r="D2290" s="19" t="s">
        <v>1045</v>
      </c>
      <c r="E2290" s="19" t="s">
        <v>1118</v>
      </c>
      <c r="F2290" s="19">
        <v>0</v>
      </c>
      <c r="G2290" s="43">
        <v>0.12</v>
      </c>
    </row>
    <row r="2291" spans="1:7" x14ac:dyDescent="0.3">
      <c r="A2291" s="19">
        <v>2147</v>
      </c>
      <c r="B2291" s="19" t="s">
        <v>3267</v>
      </c>
      <c r="C2291" s="19" t="s">
        <v>899</v>
      </c>
      <c r="D2291" s="19" t="s">
        <v>1045</v>
      </c>
      <c r="E2291" s="19" t="s">
        <v>1118</v>
      </c>
      <c r="F2291" s="19">
        <v>0</v>
      </c>
      <c r="G2291" s="43">
        <v>0.2</v>
      </c>
    </row>
    <row r="2292" spans="1:7" x14ac:dyDescent="0.3">
      <c r="A2292" s="19">
        <v>1705</v>
      </c>
      <c r="B2292" s="19" t="s">
        <v>3268</v>
      </c>
      <c r="C2292" s="19" t="s">
        <v>899</v>
      </c>
      <c r="D2292" s="19" t="s">
        <v>1045</v>
      </c>
      <c r="E2292" s="19" t="s">
        <v>1118</v>
      </c>
      <c r="F2292" s="19">
        <v>0</v>
      </c>
      <c r="G2292" s="43">
        <v>0.12</v>
      </c>
    </row>
    <row r="2293" spans="1:7" x14ac:dyDescent="0.3">
      <c r="A2293" s="19">
        <v>1706</v>
      </c>
      <c r="B2293" s="19" t="s">
        <v>3269</v>
      </c>
      <c r="C2293" s="19" t="s">
        <v>899</v>
      </c>
      <c r="D2293" s="19" t="s">
        <v>1045</v>
      </c>
      <c r="E2293" s="19" t="s">
        <v>1118</v>
      </c>
      <c r="F2293" s="19">
        <v>0</v>
      </c>
      <c r="G2293" s="43">
        <v>0.12</v>
      </c>
    </row>
    <row r="2294" spans="1:7" x14ac:dyDescent="0.3">
      <c r="A2294" s="19">
        <v>1299</v>
      </c>
      <c r="B2294" s="19" t="s">
        <v>3270</v>
      </c>
      <c r="C2294" s="19" t="s">
        <v>899</v>
      </c>
      <c r="D2294" s="19" t="s">
        <v>1045</v>
      </c>
      <c r="E2294" s="19" t="s">
        <v>1118</v>
      </c>
      <c r="F2294" s="19">
        <v>0</v>
      </c>
      <c r="G2294" s="43">
        <v>0.12</v>
      </c>
    </row>
    <row r="2295" spans="1:7" x14ac:dyDescent="0.3">
      <c r="A2295" s="19">
        <v>2375</v>
      </c>
      <c r="B2295" s="19" t="s">
        <v>3271</v>
      </c>
      <c r="C2295" s="19" t="s">
        <v>899</v>
      </c>
      <c r="D2295" s="19" t="s">
        <v>1045</v>
      </c>
      <c r="E2295" s="19" t="s">
        <v>1118</v>
      </c>
      <c r="F2295" s="19">
        <v>0</v>
      </c>
      <c r="G2295" s="43">
        <v>0.12</v>
      </c>
    </row>
    <row r="2296" spans="1:7" x14ac:dyDescent="0.3">
      <c r="A2296" s="19">
        <v>1177</v>
      </c>
      <c r="B2296" s="19" t="s">
        <v>3272</v>
      </c>
      <c r="C2296" s="19" t="s">
        <v>899</v>
      </c>
      <c r="D2296" s="19" t="s">
        <v>1045</v>
      </c>
      <c r="E2296" s="19" t="s">
        <v>1118</v>
      </c>
      <c r="F2296" s="19">
        <v>0</v>
      </c>
      <c r="G2296" s="43">
        <v>0.12</v>
      </c>
    </row>
    <row r="2297" spans="1:7" x14ac:dyDescent="0.3">
      <c r="A2297" s="19">
        <v>2166</v>
      </c>
      <c r="B2297" s="19" t="s">
        <v>3273</v>
      </c>
      <c r="C2297" s="19" t="s">
        <v>899</v>
      </c>
      <c r="D2297" s="19" t="s">
        <v>1045</v>
      </c>
      <c r="E2297" s="19" t="s">
        <v>1118</v>
      </c>
      <c r="F2297" s="19">
        <v>0</v>
      </c>
      <c r="G2297" s="43">
        <v>0.12</v>
      </c>
    </row>
    <row r="2298" spans="1:7" x14ac:dyDescent="0.3">
      <c r="A2298" s="19">
        <v>1999</v>
      </c>
      <c r="B2298" s="19" t="s">
        <v>3274</v>
      </c>
      <c r="C2298" s="19" t="s">
        <v>899</v>
      </c>
      <c r="D2298" s="19" t="s">
        <v>1045</v>
      </c>
      <c r="E2298" s="19" t="s">
        <v>1118</v>
      </c>
      <c r="F2298" s="19">
        <v>0</v>
      </c>
      <c r="G2298" s="43">
        <v>0.12</v>
      </c>
    </row>
    <row r="2299" spans="1:7" x14ac:dyDescent="0.3">
      <c r="A2299" s="19">
        <v>1998</v>
      </c>
      <c r="B2299" s="19" t="s">
        <v>3275</v>
      </c>
      <c r="C2299" s="19" t="s">
        <v>899</v>
      </c>
      <c r="D2299" s="19" t="s">
        <v>1045</v>
      </c>
      <c r="E2299" s="19" t="s">
        <v>1118</v>
      </c>
      <c r="F2299" s="19">
        <v>0</v>
      </c>
      <c r="G2299" s="43">
        <v>0.12</v>
      </c>
    </row>
    <row r="2300" spans="1:7" x14ac:dyDescent="0.3">
      <c r="A2300" s="19">
        <v>1176</v>
      </c>
      <c r="B2300" s="19" t="s">
        <v>3276</v>
      </c>
      <c r="C2300" s="19" t="s">
        <v>899</v>
      </c>
      <c r="D2300" s="19" t="s">
        <v>1045</v>
      </c>
      <c r="E2300" s="19" t="s">
        <v>1118</v>
      </c>
      <c r="F2300" s="19">
        <v>0</v>
      </c>
      <c r="G2300" s="43">
        <v>0.12</v>
      </c>
    </row>
    <row r="2301" spans="1:7" x14ac:dyDescent="0.3">
      <c r="A2301" s="19">
        <v>1019</v>
      </c>
      <c r="B2301" s="19" t="s">
        <v>3277</v>
      </c>
      <c r="C2301" s="19" t="s">
        <v>899</v>
      </c>
      <c r="D2301" s="19" t="s">
        <v>1045</v>
      </c>
      <c r="E2301" s="19" t="s">
        <v>1118</v>
      </c>
      <c r="F2301" s="19">
        <v>0</v>
      </c>
      <c r="G2301" s="43">
        <v>0.12</v>
      </c>
    </row>
    <row r="2302" spans="1:7" x14ac:dyDescent="0.3">
      <c r="A2302" s="19">
        <v>3652</v>
      </c>
      <c r="B2302" s="19" t="s">
        <v>3278</v>
      </c>
      <c r="C2302" s="19" t="s">
        <v>899</v>
      </c>
      <c r="D2302" s="19" t="s">
        <v>1045</v>
      </c>
      <c r="E2302" s="19" t="s">
        <v>1118</v>
      </c>
      <c r="F2302" s="19">
        <v>0</v>
      </c>
      <c r="G2302" s="43">
        <v>0.2</v>
      </c>
    </row>
    <row r="2303" spans="1:7" x14ac:dyDescent="0.3">
      <c r="A2303" s="19">
        <v>956</v>
      </c>
      <c r="B2303" s="19" t="s">
        <v>3279</v>
      </c>
      <c r="C2303" s="19" t="s">
        <v>899</v>
      </c>
      <c r="D2303" s="19" t="s">
        <v>1045</v>
      </c>
      <c r="E2303" s="19" t="s">
        <v>1118</v>
      </c>
      <c r="F2303" s="19">
        <v>0</v>
      </c>
      <c r="G2303" s="43">
        <v>0.12</v>
      </c>
    </row>
    <row r="2304" spans="1:7" x14ac:dyDescent="0.3">
      <c r="A2304" s="19">
        <v>608</v>
      </c>
      <c r="B2304" s="19" t="s">
        <v>3280</v>
      </c>
      <c r="C2304" s="19" t="s">
        <v>899</v>
      </c>
      <c r="D2304" s="19" t="s">
        <v>1045</v>
      </c>
      <c r="E2304" s="19" t="s">
        <v>1118</v>
      </c>
      <c r="F2304" s="19">
        <v>0</v>
      </c>
      <c r="G2304" s="43">
        <v>0.2</v>
      </c>
    </row>
    <row r="2305" spans="1:7" x14ac:dyDescent="0.3">
      <c r="A2305" s="19">
        <v>3360</v>
      </c>
      <c r="B2305" s="19" t="s">
        <v>3281</v>
      </c>
      <c r="C2305" s="19" t="s">
        <v>899</v>
      </c>
      <c r="D2305" s="19" t="s">
        <v>1045</v>
      </c>
      <c r="E2305" s="19" t="s">
        <v>1118</v>
      </c>
      <c r="F2305" s="19">
        <v>0</v>
      </c>
      <c r="G2305" s="43">
        <v>0.12</v>
      </c>
    </row>
    <row r="2306" spans="1:7" x14ac:dyDescent="0.3">
      <c r="A2306" s="19">
        <v>2651</v>
      </c>
      <c r="B2306" s="19" t="s">
        <v>3282</v>
      </c>
      <c r="C2306" s="19" t="s">
        <v>899</v>
      </c>
      <c r="D2306" s="19" t="s">
        <v>1045</v>
      </c>
      <c r="E2306" s="19" t="s">
        <v>1118</v>
      </c>
      <c r="F2306" s="19">
        <v>0</v>
      </c>
      <c r="G2306" s="43">
        <v>0.35</v>
      </c>
    </row>
    <row r="2307" spans="1:7" x14ac:dyDescent="0.3">
      <c r="A2307" s="19">
        <v>3377</v>
      </c>
      <c r="B2307" s="19" t="s">
        <v>3283</v>
      </c>
      <c r="C2307" s="19" t="s">
        <v>899</v>
      </c>
      <c r="D2307" s="19" t="s">
        <v>1045</v>
      </c>
      <c r="E2307" s="19" t="s">
        <v>1118</v>
      </c>
      <c r="F2307" s="19">
        <v>0</v>
      </c>
      <c r="G2307" s="43">
        <v>0.2</v>
      </c>
    </row>
    <row r="2308" spans="1:7" x14ac:dyDescent="0.3">
      <c r="A2308" s="19">
        <v>955</v>
      </c>
      <c r="B2308" s="19" t="s">
        <v>3284</v>
      </c>
      <c r="C2308" s="19" t="s">
        <v>899</v>
      </c>
      <c r="D2308" s="19" t="s">
        <v>1045</v>
      </c>
      <c r="E2308" s="19" t="s">
        <v>1118</v>
      </c>
      <c r="F2308" s="19">
        <v>0</v>
      </c>
      <c r="G2308" s="43">
        <v>0.12</v>
      </c>
    </row>
    <row r="2309" spans="1:7" x14ac:dyDescent="0.3">
      <c r="A2309" s="19">
        <v>2000</v>
      </c>
      <c r="B2309" s="19" t="s">
        <v>3285</v>
      </c>
      <c r="C2309" s="19" t="s">
        <v>899</v>
      </c>
      <c r="D2309" s="19" t="s">
        <v>1045</v>
      </c>
      <c r="E2309" s="19" t="s">
        <v>1118</v>
      </c>
      <c r="F2309" s="19">
        <v>0</v>
      </c>
      <c r="G2309" s="43">
        <v>0.35</v>
      </c>
    </row>
    <row r="2310" spans="1:7" x14ac:dyDescent="0.3">
      <c r="A2310" s="19">
        <v>2306</v>
      </c>
      <c r="B2310" s="19" t="s">
        <v>3286</v>
      </c>
      <c r="C2310" s="19" t="s">
        <v>899</v>
      </c>
      <c r="D2310" s="19" t="s">
        <v>1045</v>
      </c>
      <c r="E2310" s="19" t="s">
        <v>1118</v>
      </c>
      <c r="F2310" s="19">
        <v>0</v>
      </c>
      <c r="G2310" s="43">
        <v>0.12</v>
      </c>
    </row>
    <row r="2311" spans="1:7" x14ac:dyDescent="0.3">
      <c r="A2311" s="19">
        <v>957</v>
      </c>
      <c r="B2311" s="19" t="s">
        <v>3287</v>
      </c>
      <c r="C2311" s="19" t="s">
        <v>899</v>
      </c>
      <c r="D2311" s="19" t="s">
        <v>1045</v>
      </c>
      <c r="E2311" s="19" t="s">
        <v>1118</v>
      </c>
      <c r="F2311" s="19">
        <v>0</v>
      </c>
      <c r="G2311" s="43">
        <v>0.12</v>
      </c>
    </row>
    <row r="2312" spans="1:7" x14ac:dyDescent="0.3">
      <c r="A2312" s="19">
        <v>2536</v>
      </c>
      <c r="B2312" s="19" t="s">
        <v>3288</v>
      </c>
      <c r="C2312" s="19" t="s">
        <v>899</v>
      </c>
      <c r="D2312" s="19" t="s">
        <v>1045</v>
      </c>
      <c r="E2312" s="19" t="s">
        <v>1118</v>
      </c>
      <c r="F2312" s="19">
        <v>0</v>
      </c>
      <c r="G2312" s="43">
        <v>0.12</v>
      </c>
    </row>
    <row r="2313" spans="1:7" x14ac:dyDescent="0.3">
      <c r="A2313" s="19">
        <v>609</v>
      </c>
      <c r="B2313" s="19" t="s">
        <v>3289</v>
      </c>
      <c r="C2313" s="19" t="s">
        <v>899</v>
      </c>
      <c r="D2313" s="19" t="s">
        <v>1045</v>
      </c>
      <c r="E2313" s="19" t="s">
        <v>1118</v>
      </c>
      <c r="F2313" s="19">
        <v>0</v>
      </c>
      <c r="G2313" s="43">
        <v>0.12</v>
      </c>
    </row>
    <row r="2314" spans="1:7" x14ac:dyDescent="0.3">
      <c r="A2314" s="19">
        <v>2198</v>
      </c>
      <c r="B2314" s="19" t="s">
        <v>3290</v>
      </c>
      <c r="C2314" s="19" t="s">
        <v>899</v>
      </c>
      <c r="D2314" s="19" t="s">
        <v>1045</v>
      </c>
      <c r="E2314" s="19" t="s">
        <v>1118</v>
      </c>
      <c r="F2314" s="19">
        <v>0</v>
      </c>
      <c r="G2314" s="43">
        <v>0.14000000000000001</v>
      </c>
    </row>
    <row r="2315" spans="1:7" x14ac:dyDescent="0.3">
      <c r="A2315" s="19">
        <v>2193</v>
      </c>
      <c r="B2315" s="19" t="s">
        <v>3291</v>
      </c>
      <c r="C2315" s="19" t="s">
        <v>899</v>
      </c>
      <c r="D2315" s="19" t="s">
        <v>1045</v>
      </c>
      <c r="E2315" s="19" t="s">
        <v>1118</v>
      </c>
      <c r="F2315" s="19">
        <v>0</v>
      </c>
      <c r="G2315" s="43">
        <v>0.14000000000000001</v>
      </c>
    </row>
    <row r="2316" spans="1:7" x14ac:dyDescent="0.3">
      <c r="A2316" s="19">
        <v>1178</v>
      </c>
      <c r="B2316" s="19" t="s">
        <v>3292</v>
      </c>
      <c r="C2316" s="19" t="s">
        <v>899</v>
      </c>
      <c r="D2316" s="19" t="s">
        <v>1045</v>
      </c>
      <c r="E2316" s="19" t="s">
        <v>1118</v>
      </c>
      <c r="F2316" s="19">
        <v>0</v>
      </c>
      <c r="G2316" s="43">
        <v>0.12</v>
      </c>
    </row>
    <row r="2317" spans="1:7" x14ac:dyDescent="0.3">
      <c r="A2317" s="19">
        <v>959</v>
      </c>
      <c r="B2317" s="19" t="s">
        <v>3293</v>
      </c>
      <c r="C2317" s="19" t="s">
        <v>899</v>
      </c>
      <c r="D2317" s="19" t="s">
        <v>1045</v>
      </c>
      <c r="E2317" s="19" t="s">
        <v>1118</v>
      </c>
      <c r="F2317" s="19">
        <v>0</v>
      </c>
      <c r="G2317" s="43">
        <v>0.12</v>
      </c>
    </row>
    <row r="2318" spans="1:7" x14ac:dyDescent="0.3">
      <c r="A2318" s="19">
        <v>2863</v>
      </c>
      <c r="B2318" s="19" t="s">
        <v>3294</v>
      </c>
      <c r="C2318" s="19" t="s">
        <v>899</v>
      </c>
      <c r="D2318" s="19" t="s">
        <v>1045</v>
      </c>
      <c r="E2318" s="19" t="s">
        <v>1118</v>
      </c>
      <c r="F2318" s="19">
        <v>0</v>
      </c>
      <c r="G2318" s="43">
        <v>0.2</v>
      </c>
    </row>
    <row r="2319" spans="1:7" x14ac:dyDescent="0.3">
      <c r="A2319" s="19">
        <v>958</v>
      </c>
      <c r="B2319" s="19" t="s">
        <v>3295</v>
      </c>
      <c r="C2319" s="19" t="s">
        <v>899</v>
      </c>
      <c r="D2319" s="19" t="s">
        <v>1045</v>
      </c>
      <c r="E2319" s="19" t="s">
        <v>1118</v>
      </c>
      <c r="F2319" s="19">
        <v>0</v>
      </c>
      <c r="G2319" s="43">
        <v>0.12</v>
      </c>
    </row>
    <row r="2320" spans="1:7" x14ac:dyDescent="0.3">
      <c r="A2320" s="19">
        <v>1020</v>
      </c>
      <c r="B2320" s="19" t="s">
        <v>3296</v>
      </c>
      <c r="C2320" s="19" t="s">
        <v>899</v>
      </c>
      <c r="D2320" s="19" t="s">
        <v>1045</v>
      </c>
      <c r="E2320" s="19" t="s">
        <v>1118</v>
      </c>
      <c r="F2320" s="19">
        <v>0</v>
      </c>
      <c r="G2320" s="43">
        <v>0.12</v>
      </c>
    </row>
    <row r="2321" spans="1:7" x14ac:dyDescent="0.3">
      <c r="A2321" s="19">
        <v>2871</v>
      </c>
      <c r="B2321" s="19" t="s">
        <v>3297</v>
      </c>
      <c r="C2321" s="19" t="s">
        <v>899</v>
      </c>
      <c r="D2321" s="19" t="s">
        <v>1045</v>
      </c>
      <c r="E2321" s="19" t="s">
        <v>1118</v>
      </c>
      <c r="F2321" s="19">
        <v>0</v>
      </c>
      <c r="G2321" s="43">
        <v>0.12</v>
      </c>
    </row>
    <row r="2322" spans="1:7" x14ac:dyDescent="0.3">
      <c r="A2322" s="19">
        <v>3355</v>
      </c>
      <c r="B2322" s="19" t="s">
        <v>3298</v>
      </c>
      <c r="C2322" s="19" t="s">
        <v>899</v>
      </c>
      <c r="D2322" s="19" t="s">
        <v>1045</v>
      </c>
      <c r="E2322" s="19" t="s">
        <v>1118</v>
      </c>
      <c r="F2322" s="19">
        <v>0</v>
      </c>
      <c r="G2322" s="43">
        <v>0.2</v>
      </c>
    </row>
    <row r="2323" spans="1:7" x14ac:dyDescent="0.3">
      <c r="A2323" s="19">
        <v>960</v>
      </c>
      <c r="B2323" s="19" t="s">
        <v>3299</v>
      </c>
      <c r="C2323" s="19" t="s">
        <v>899</v>
      </c>
      <c r="D2323" s="19" t="s">
        <v>1045</v>
      </c>
      <c r="E2323" s="19" t="s">
        <v>1118</v>
      </c>
      <c r="F2323" s="19">
        <v>0</v>
      </c>
      <c r="G2323" s="43">
        <v>0.12</v>
      </c>
    </row>
    <row r="2324" spans="1:7" x14ac:dyDescent="0.3">
      <c r="A2324" s="19">
        <v>1308</v>
      </c>
      <c r="B2324" s="19" t="s">
        <v>3300</v>
      </c>
      <c r="C2324" s="19" t="s">
        <v>899</v>
      </c>
      <c r="D2324" s="19" t="s">
        <v>1045</v>
      </c>
      <c r="E2324" s="19" t="s">
        <v>1118</v>
      </c>
      <c r="F2324" s="19">
        <v>0</v>
      </c>
      <c r="G2324" s="43">
        <v>0.12</v>
      </c>
    </row>
    <row r="2325" spans="1:7" x14ac:dyDescent="0.3">
      <c r="A2325" s="19">
        <v>961</v>
      </c>
      <c r="B2325" s="19" t="s">
        <v>3301</v>
      </c>
      <c r="C2325" s="19" t="s">
        <v>899</v>
      </c>
      <c r="D2325" s="19" t="s">
        <v>1045</v>
      </c>
      <c r="E2325" s="19" t="s">
        <v>1118</v>
      </c>
      <c r="F2325" s="19">
        <v>0</v>
      </c>
      <c r="G2325" s="43">
        <v>0.12</v>
      </c>
    </row>
    <row r="2326" spans="1:7" x14ac:dyDescent="0.3">
      <c r="A2326" s="19">
        <v>3356</v>
      </c>
      <c r="B2326" s="19" t="s">
        <v>3302</v>
      </c>
      <c r="C2326" s="19" t="s">
        <v>899</v>
      </c>
      <c r="D2326" s="19" t="s">
        <v>1045</v>
      </c>
      <c r="E2326" s="19" t="s">
        <v>1118</v>
      </c>
      <c r="F2326" s="19">
        <v>0</v>
      </c>
      <c r="G2326" s="43">
        <v>0.12</v>
      </c>
    </row>
    <row r="2327" spans="1:7" x14ac:dyDescent="0.3">
      <c r="A2327" s="19">
        <v>1863</v>
      </c>
      <c r="B2327" s="19" t="s">
        <v>3303</v>
      </c>
      <c r="C2327" s="19" t="s">
        <v>899</v>
      </c>
      <c r="D2327" s="19" t="s">
        <v>1045</v>
      </c>
      <c r="E2327" s="19" t="s">
        <v>1118</v>
      </c>
      <c r="F2327" s="19">
        <v>0</v>
      </c>
      <c r="G2327" s="43">
        <v>0.12</v>
      </c>
    </row>
    <row r="2328" spans="1:7" x14ac:dyDescent="0.3">
      <c r="A2328" s="19">
        <v>3326</v>
      </c>
      <c r="B2328" s="19" t="s">
        <v>3304</v>
      </c>
      <c r="C2328" s="19" t="s">
        <v>899</v>
      </c>
      <c r="D2328" s="19" t="s">
        <v>1045</v>
      </c>
      <c r="E2328" s="19" t="s">
        <v>1118</v>
      </c>
      <c r="F2328" s="19">
        <v>0</v>
      </c>
      <c r="G2328" s="43">
        <v>0.2</v>
      </c>
    </row>
    <row r="2329" spans="1:7" x14ac:dyDescent="0.3">
      <c r="A2329" s="19">
        <v>2072</v>
      </c>
      <c r="B2329" s="19" t="s">
        <v>3305</v>
      </c>
      <c r="C2329" s="19" t="s">
        <v>899</v>
      </c>
      <c r="D2329" s="19" t="s">
        <v>1045</v>
      </c>
      <c r="E2329" s="19" t="s">
        <v>1118</v>
      </c>
      <c r="F2329" s="19">
        <v>0</v>
      </c>
      <c r="G2329" s="43">
        <v>0.12</v>
      </c>
    </row>
    <row r="2330" spans="1:7" x14ac:dyDescent="0.3">
      <c r="A2330" s="19">
        <v>2310</v>
      </c>
      <c r="B2330" s="19" t="s">
        <v>3306</v>
      </c>
      <c r="C2330" s="19" t="s">
        <v>899</v>
      </c>
      <c r="D2330" s="19" t="s">
        <v>1045</v>
      </c>
      <c r="E2330" s="19" t="s">
        <v>1118</v>
      </c>
      <c r="F2330" s="19">
        <v>0</v>
      </c>
      <c r="G2330" s="43">
        <v>0.12</v>
      </c>
    </row>
    <row r="2331" spans="1:7" x14ac:dyDescent="0.3">
      <c r="A2331" s="19">
        <v>610</v>
      </c>
      <c r="B2331" s="19" t="s">
        <v>3307</v>
      </c>
      <c r="C2331" s="19" t="s">
        <v>899</v>
      </c>
      <c r="D2331" s="19" t="s">
        <v>1045</v>
      </c>
      <c r="E2331" s="19" t="s">
        <v>1118</v>
      </c>
      <c r="F2331" s="19">
        <v>0</v>
      </c>
      <c r="G2331" s="43">
        <v>0.14000000000000001</v>
      </c>
    </row>
    <row r="2332" spans="1:7" x14ac:dyDescent="0.3">
      <c r="A2332" s="19">
        <v>1022</v>
      </c>
      <c r="B2332" s="19" t="s">
        <v>3308</v>
      </c>
      <c r="C2332" s="19" t="s">
        <v>899</v>
      </c>
      <c r="D2332" s="19" t="s">
        <v>1045</v>
      </c>
      <c r="E2332" s="19" t="s">
        <v>1118</v>
      </c>
      <c r="F2332" s="19">
        <v>0</v>
      </c>
      <c r="G2332" s="43">
        <v>0.12</v>
      </c>
    </row>
    <row r="2333" spans="1:7" x14ac:dyDescent="0.3">
      <c r="A2333" s="19">
        <v>663</v>
      </c>
      <c r="B2333" s="19" t="s">
        <v>3309</v>
      </c>
      <c r="C2333" s="19" t="s">
        <v>899</v>
      </c>
      <c r="D2333" s="19" t="s">
        <v>1045</v>
      </c>
      <c r="E2333" s="19" t="s">
        <v>1118</v>
      </c>
      <c r="F2333" s="19">
        <v>0</v>
      </c>
      <c r="G2333" s="43">
        <v>0.12</v>
      </c>
    </row>
    <row r="2334" spans="1:7" x14ac:dyDescent="0.3">
      <c r="A2334" s="19">
        <v>664</v>
      </c>
      <c r="B2334" s="19" t="s">
        <v>3310</v>
      </c>
      <c r="C2334" s="19" t="s">
        <v>899</v>
      </c>
      <c r="D2334" s="19" t="s">
        <v>1045</v>
      </c>
      <c r="E2334" s="19" t="s">
        <v>1118</v>
      </c>
      <c r="F2334" s="19">
        <v>0</v>
      </c>
      <c r="G2334" s="43">
        <v>0.12</v>
      </c>
    </row>
    <row r="2335" spans="1:7" x14ac:dyDescent="0.3">
      <c r="A2335" s="19">
        <v>1023</v>
      </c>
      <c r="B2335" s="19" t="s">
        <v>3311</v>
      </c>
      <c r="C2335" s="19" t="s">
        <v>899</v>
      </c>
      <c r="D2335" s="19" t="s">
        <v>1045</v>
      </c>
      <c r="E2335" s="19" t="s">
        <v>1118</v>
      </c>
      <c r="F2335" s="19">
        <v>0</v>
      </c>
      <c r="G2335" s="43">
        <v>0.2</v>
      </c>
    </row>
    <row r="2336" spans="1:7" x14ac:dyDescent="0.3">
      <c r="A2336" s="19">
        <v>2087</v>
      </c>
      <c r="B2336" s="19" t="s">
        <v>3312</v>
      </c>
      <c r="C2336" s="19" t="s">
        <v>899</v>
      </c>
      <c r="D2336" s="19" t="s">
        <v>1045</v>
      </c>
      <c r="E2336" s="19" t="s">
        <v>1118</v>
      </c>
      <c r="F2336" s="19">
        <v>0</v>
      </c>
      <c r="G2336" s="43">
        <v>0.2</v>
      </c>
    </row>
    <row r="2337" spans="1:7" x14ac:dyDescent="0.3">
      <c r="A2337" s="19">
        <v>611</v>
      </c>
      <c r="B2337" s="19" t="s">
        <v>3313</v>
      </c>
      <c r="C2337" s="19" t="s">
        <v>899</v>
      </c>
      <c r="D2337" s="19" t="s">
        <v>1045</v>
      </c>
      <c r="E2337" s="19" t="s">
        <v>1118</v>
      </c>
      <c r="F2337" s="19">
        <v>0</v>
      </c>
      <c r="G2337" s="43">
        <v>0.14000000000000001</v>
      </c>
    </row>
    <row r="2338" spans="1:7" x14ac:dyDescent="0.3">
      <c r="A2338" s="19">
        <v>2537</v>
      </c>
      <c r="B2338" s="19" t="s">
        <v>3314</v>
      </c>
      <c r="C2338" s="19" t="s">
        <v>899</v>
      </c>
      <c r="D2338" s="19" t="s">
        <v>1045</v>
      </c>
      <c r="E2338" s="19" t="s">
        <v>1118</v>
      </c>
      <c r="F2338" s="19">
        <v>0</v>
      </c>
      <c r="G2338" s="43">
        <v>0.14000000000000001</v>
      </c>
    </row>
    <row r="2339" spans="1:7" x14ac:dyDescent="0.3">
      <c r="A2339" s="19">
        <v>3357</v>
      </c>
      <c r="B2339" s="19" t="s">
        <v>3315</v>
      </c>
      <c r="C2339" s="19" t="s">
        <v>899</v>
      </c>
      <c r="D2339" s="19" t="s">
        <v>1045</v>
      </c>
      <c r="E2339" s="19" t="s">
        <v>1118</v>
      </c>
      <c r="F2339" s="19">
        <v>0</v>
      </c>
      <c r="G2339" s="43">
        <v>0.12</v>
      </c>
    </row>
    <row r="2340" spans="1:7" x14ac:dyDescent="0.3">
      <c r="A2340" s="19">
        <v>778</v>
      </c>
      <c r="B2340" s="19" t="s">
        <v>3316</v>
      </c>
      <c r="C2340" s="19" t="s">
        <v>899</v>
      </c>
      <c r="D2340" s="19" t="s">
        <v>1045</v>
      </c>
      <c r="E2340" s="19" t="s">
        <v>1118</v>
      </c>
      <c r="F2340" s="19">
        <v>0</v>
      </c>
      <c r="G2340" s="43">
        <v>0.14000000000000001</v>
      </c>
    </row>
    <row r="2341" spans="1:7" x14ac:dyDescent="0.3">
      <c r="A2341" s="19">
        <v>1756</v>
      </c>
      <c r="B2341" s="19" t="s">
        <v>3317</v>
      </c>
      <c r="C2341" s="19" t="s">
        <v>899</v>
      </c>
      <c r="D2341" s="19" t="s">
        <v>1045</v>
      </c>
      <c r="E2341" s="19" t="s">
        <v>1118</v>
      </c>
      <c r="F2341" s="19">
        <v>0</v>
      </c>
      <c r="G2341" s="43">
        <v>0.2</v>
      </c>
    </row>
    <row r="2342" spans="1:7" x14ac:dyDescent="0.3">
      <c r="A2342" s="19">
        <v>2004</v>
      </c>
      <c r="B2342" s="19" t="s">
        <v>3318</v>
      </c>
      <c r="C2342" s="19" t="s">
        <v>899</v>
      </c>
      <c r="D2342" s="19" t="s">
        <v>1045</v>
      </c>
      <c r="E2342" s="19" t="s">
        <v>1118</v>
      </c>
      <c r="F2342" s="19">
        <v>0</v>
      </c>
      <c r="G2342" s="43">
        <v>0.12</v>
      </c>
    </row>
    <row r="2343" spans="1:7" x14ac:dyDescent="0.3">
      <c r="A2343" s="19">
        <v>427</v>
      </c>
      <c r="B2343" s="19" t="s">
        <v>3319</v>
      </c>
      <c r="C2343" s="19" t="s">
        <v>899</v>
      </c>
      <c r="D2343" s="19" t="s">
        <v>1045</v>
      </c>
      <c r="E2343" s="19" t="s">
        <v>1118</v>
      </c>
      <c r="F2343" s="19">
        <v>0</v>
      </c>
      <c r="G2343" s="43">
        <v>0.12</v>
      </c>
    </row>
    <row r="2344" spans="1:7" x14ac:dyDescent="0.3">
      <c r="A2344" s="19">
        <v>3358</v>
      </c>
      <c r="B2344" s="19" t="s">
        <v>3320</v>
      </c>
      <c r="C2344" s="19" t="s">
        <v>899</v>
      </c>
      <c r="D2344" s="19" t="s">
        <v>1045</v>
      </c>
      <c r="E2344" s="19" t="s">
        <v>1118</v>
      </c>
      <c r="F2344" s="19">
        <v>0</v>
      </c>
      <c r="G2344" s="43">
        <v>0.12</v>
      </c>
    </row>
    <row r="2345" spans="1:7" x14ac:dyDescent="0.3">
      <c r="A2345" s="19">
        <v>2494</v>
      </c>
      <c r="B2345" s="19" t="s">
        <v>3321</v>
      </c>
      <c r="C2345" s="19" t="s">
        <v>899</v>
      </c>
      <c r="D2345" s="19" t="s">
        <v>1045</v>
      </c>
      <c r="E2345" s="19" t="s">
        <v>1118</v>
      </c>
      <c r="F2345" s="19">
        <v>0</v>
      </c>
      <c r="G2345" s="43">
        <v>0.12</v>
      </c>
    </row>
    <row r="2346" spans="1:7" x14ac:dyDescent="0.3">
      <c r="A2346" s="19">
        <v>3359</v>
      </c>
      <c r="B2346" s="19" t="s">
        <v>3322</v>
      </c>
      <c r="C2346" s="19" t="s">
        <v>899</v>
      </c>
      <c r="D2346" s="19" t="s">
        <v>1045</v>
      </c>
      <c r="E2346" s="19" t="s">
        <v>1118</v>
      </c>
      <c r="F2346" s="19">
        <v>0</v>
      </c>
      <c r="G2346" s="43">
        <v>0.12</v>
      </c>
    </row>
    <row r="2347" spans="1:7" x14ac:dyDescent="0.3">
      <c r="A2347" s="19">
        <v>2311</v>
      </c>
      <c r="B2347" s="19" t="s">
        <v>3323</v>
      </c>
      <c r="C2347" s="19" t="s">
        <v>899</v>
      </c>
      <c r="D2347" s="19" t="s">
        <v>1045</v>
      </c>
      <c r="E2347" s="19" t="s">
        <v>1118</v>
      </c>
      <c r="F2347" s="19">
        <v>0</v>
      </c>
      <c r="G2347" s="43">
        <v>0.2</v>
      </c>
    </row>
    <row r="2348" spans="1:7" x14ac:dyDescent="0.3">
      <c r="A2348" s="19">
        <v>962</v>
      </c>
      <c r="B2348" s="19" t="s">
        <v>3324</v>
      </c>
      <c r="C2348" s="19" t="s">
        <v>899</v>
      </c>
      <c r="D2348" s="19" t="s">
        <v>1045</v>
      </c>
      <c r="E2348" s="19" t="s">
        <v>1118</v>
      </c>
      <c r="F2348" s="19">
        <v>0</v>
      </c>
      <c r="G2348" s="43">
        <v>0.12</v>
      </c>
    </row>
    <row r="2349" spans="1:7" x14ac:dyDescent="0.3">
      <c r="A2349" s="19">
        <v>3771</v>
      </c>
      <c r="B2349" s="19" t="s">
        <v>3325</v>
      </c>
      <c r="C2349" s="19" t="s">
        <v>899</v>
      </c>
      <c r="D2349" s="19" t="s">
        <v>1045</v>
      </c>
      <c r="E2349" s="19" t="s">
        <v>1118</v>
      </c>
      <c r="F2349" s="19">
        <v>0</v>
      </c>
      <c r="G2349" s="43">
        <v>0.3</v>
      </c>
    </row>
    <row r="2350" spans="1:7" x14ac:dyDescent="0.3">
      <c r="A2350" s="19">
        <v>1738</v>
      </c>
      <c r="B2350" s="19" t="s">
        <v>3326</v>
      </c>
      <c r="C2350" s="19" t="s">
        <v>899</v>
      </c>
      <c r="D2350" s="19" t="s">
        <v>1045</v>
      </c>
      <c r="E2350" s="19" t="s">
        <v>1118</v>
      </c>
      <c r="F2350" s="19">
        <v>0</v>
      </c>
      <c r="G2350" s="43">
        <v>0.28000000000000003</v>
      </c>
    </row>
    <row r="2351" spans="1:7" x14ac:dyDescent="0.3">
      <c r="A2351" s="19">
        <v>1739</v>
      </c>
      <c r="B2351" s="19" t="s">
        <v>3327</v>
      </c>
      <c r="C2351" s="19" t="s">
        <v>899</v>
      </c>
      <c r="D2351" s="19" t="s">
        <v>1045</v>
      </c>
      <c r="E2351" s="19" t="s">
        <v>1118</v>
      </c>
      <c r="F2351" s="19">
        <v>0</v>
      </c>
      <c r="G2351" s="43">
        <v>0.28000000000000003</v>
      </c>
    </row>
    <row r="2352" spans="1:7" x14ac:dyDescent="0.3">
      <c r="A2352" s="19">
        <v>1740</v>
      </c>
      <c r="B2352" s="19" t="s">
        <v>3328</v>
      </c>
      <c r="C2352" s="19" t="s">
        <v>899</v>
      </c>
      <c r="D2352" s="19" t="s">
        <v>1045</v>
      </c>
      <c r="E2352" s="19" t="s">
        <v>1118</v>
      </c>
      <c r="F2352" s="19">
        <v>0</v>
      </c>
      <c r="G2352" s="43">
        <v>0.28000000000000003</v>
      </c>
    </row>
    <row r="2353" spans="1:7" x14ac:dyDescent="0.3">
      <c r="A2353" s="19">
        <v>3772</v>
      </c>
      <c r="B2353" s="19" t="s">
        <v>3329</v>
      </c>
      <c r="C2353" s="19" t="s">
        <v>899</v>
      </c>
      <c r="D2353" s="19" t="s">
        <v>1045</v>
      </c>
      <c r="E2353" s="19" t="s">
        <v>1118</v>
      </c>
      <c r="F2353" s="19">
        <v>0</v>
      </c>
      <c r="G2353" s="43">
        <v>0.3</v>
      </c>
    </row>
    <row r="2354" spans="1:7" x14ac:dyDescent="0.3">
      <c r="A2354" s="19">
        <v>2016</v>
      </c>
      <c r="B2354" s="19" t="s">
        <v>3330</v>
      </c>
      <c r="C2354" s="19" t="s">
        <v>899</v>
      </c>
      <c r="D2354" s="19" t="s">
        <v>1045</v>
      </c>
      <c r="E2354" s="19" t="s">
        <v>1118</v>
      </c>
      <c r="F2354" s="19">
        <v>0</v>
      </c>
      <c r="G2354" s="43">
        <v>0.28999999999999998</v>
      </c>
    </row>
    <row r="2355" spans="1:7" x14ac:dyDescent="0.3">
      <c r="A2355" s="19">
        <v>1955</v>
      </c>
      <c r="B2355" s="19" t="s">
        <v>3331</v>
      </c>
      <c r="C2355" s="19" t="s">
        <v>899</v>
      </c>
      <c r="D2355" s="19" t="s">
        <v>1045</v>
      </c>
      <c r="E2355" s="19" t="s">
        <v>1118</v>
      </c>
      <c r="F2355" s="19">
        <v>0</v>
      </c>
      <c r="G2355" s="43">
        <v>0.2</v>
      </c>
    </row>
    <row r="2356" spans="1:7" x14ac:dyDescent="0.3">
      <c r="A2356" s="19">
        <v>1741</v>
      </c>
      <c r="B2356" s="19" t="s">
        <v>3332</v>
      </c>
      <c r="C2356" s="19" t="s">
        <v>899</v>
      </c>
      <c r="D2356" s="19" t="s">
        <v>1045</v>
      </c>
      <c r="E2356" s="19" t="s">
        <v>1118</v>
      </c>
      <c r="F2356" s="19">
        <v>0</v>
      </c>
      <c r="G2356" s="43">
        <v>0.25</v>
      </c>
    </row>
    <row r="2357" spans="1:7" x14ac:dyDescent="0.3">
      <c r="A2357" s="19">
        <v>2020</v>
      </c>
      <c r="B2357" s="19" t="s">
        <v>3333</v>
      </c>
      <c r="C2357" s="19" t="s">
        <v>899</v>
      </c>
      <c r="D2357" s="19" t="s">
        <v>1045</v>
      </c>
      <c r="E2357" s="19" t="s">
        <v>1118</v>
      </c>
      <c r="F2357" s="19">
        <v>0</v>
      </c>
      <c r="G2357" s="43">
        <v>0.33</v>
      </c>
    </row>
    <row r="2358" spans="1:7" x14ac:dyDescent="0.3">
      <c r="A2358" s="19">
        <v>4089</v>
      </c>
      <c r="B2358" s="19" t="s">
        <v>3334</v>
      </c>
      <c r="C2358" s="19" t="s">
        <v>1338</v>
      </c>
      <c r="D2358" s="19" t="s">
        <v>1045</v>
      </c>
      <c r="E2358" s="19" t="s">
        <v>1118</v>
      </c>
      <c r="F2358" s="19">
        <v>1000</v>
      </c>
      <c r="G2358" s="43">
        <v>0.2</v>
      </c>
    </row>
    <row r="2359" spans="1:7" x14ac:dyDescent="0.3">
      <c r="A2359" s="19">
        <v>2022</v>
      </c>
      <c r="B2359" s="19" t="s">
        <v>3335</v>
      </c>
      <c r="C2359" s="19" t="s">
        <v>899</v>
      </c>
      <c r="D2359" s="19" t="s">
        <v>1045</v>
      </c>
      <c r="E2359" s="19" t="s">
        <v>1118</v>
      </c>
      <c r="F2359" s="19">
        <v>0</v>
      </c>
      <c r="G2359" s="43">
        <v>0.28000000000000003</v>
      </c>
    </row>
    <row r="2360" spans="1:7" x14ac:dyDescent="0.3">
      <c r="A2360" s="19">
        <v>1742</v>
      </c>
      <c r="B2360" s="19" t="s">
        <v>3336</v>
      </c>
      <c r="C2360" s="19" t="s">
        <v>899</v>
      </c>
      <c r="D2360" s="19" t="s">
        <v>1045</v>
      </c>
      <c r="E2360" s="19" t="s">
        <v>1118</v>
      </c>
      <c r="F2360" s="19">
        <v>0</v>
      </c>
      <c r="G2360" s="43">
        <v>0.28000000000000003</v>
      </c>
    </row>
    <row r="2361" spans="1:7" x14ac:dyDescent="0.3">
      <c r="A2361" s="19">
        <v>3407</v>
      </c>
      <c r="B2361" s="19" t="s">
        <v>3337</v>
      </c>
      <c r="C2361" s="19" t="s">
        <v>899</v>
      </c>
      <c r="D2361" s="19" t="s">
        <v>1045</v>
      </c>
      <c r="E2361" s="19" t="s">
        <v>1118</v>
      </c>
      <c r="F2361" s="19">
        <v>0</v>
      </c>
      <c r="G2361" s="43">
        <v>0.32</v>
      </c>
    </row>
    <row r="2362" spans="1:7" x14ac:dyDescent="0.3">
      <c r="A2362" s="19">
        <v>3443</v>
      </c>
      <c r="B2362" s="19" t="s">
        <v>3338</v>
      </c>
      <c r="C2362" s="19" t="s">
        <v>899</v>
      </c>
      <c r="D2362" s="19" t="s">
        <v>1045</v>
      </c>
      <c r="E2362" s="19" t="s">
        <v>1118</v>
      </c>
      <c r="F2362" s="19">
        <v>0</v>
      </c>
      <c r="G2362" s="43">
        <v>0.65</v>
      </c>
    </row>
    <row r="2363" spans="1:7" x14ac:dyDescent="0.3">
      <c r="A2363" s="19">
        <v>2312</v>
      </c>
      <c r="B2363" s="19" t="s">
        <v>3339</v>
      </c>
      <c r="C2363" s="19" t="s">
        <v>899</v>
      </c>
      <c r="D2363" s="19" t="s">
        <v>1045</v>
      </c>
      <c r="E2363" s="19" t="s">
        <v>1118</v>
      </c>
      <c r="F2363" s="19">
        <v>0</v>
      </c>
      <c r="G2363" s="43">
        <v>1.1000000000000001</v>
      </c>
    </row>
    <row r="2364" spans="1:7" x14ac:dyDescent="0.3">
      <c r="A2364" s="19">
        <v>1743</v>
      </c>
      <c r="B2364" s="19" t="s">
        <v>3340</v>
      </c>
      <c r="C2364" s="19" t="s">
        <v>899</v>
      </c>
      <c r="D2364" s="19" t="s">
        <v>1045</v>
      </c>
      <c r="E2364" s="19" t="s">
        <v>1118</v>
      </c>
      <c r="F2364" s="19">
        <v>0</v>
      </c>
      <c r="G2364" s="43">
        <v>0.28000000000000003</v>
      </c>
    </row>
    <row r="2365" spans="1:7" x14ac:dyDescent="0.3">
      <c r="A2365" s="19">
        <v>3153</v>
      </c>
      <c r="B2365" s="19" t="s">
        <v>3341</v>
      </c>
      <c r="C2365" s="19" t="s">
        <v>899</v>
      </c>
      <c r="D2365" s="19" t="s">
        <v>1045</v>
      </c>
      <c r="E2365" s="19" t="s">
        <v>1118</v>
      </c>
      <c r="F2365" s="19">
        <v>0</v>
      </c>
      <c r="G2365" s="43">
        <v>0.28000000000000003</v>
      </c>
    </row>
    <row r="2366" spans="1:7" x14ac:dyDescent="0.3">
      <c r="A2366" s="19">
        <v>1745</v>
      </c>
      <c r="B2366" s="19" t="s">
        <v>3342</v>
      </c>
      <c r="C2366" s="19" t="s">
        <v>899</v>
      </c>
      <c r="D2366" s="19" t="s">
        <v>1045</v>
      </c>
      <c r="E2366" s="19" t="s">
        <v>1118</v>
      </c>
      <c r="F2366" s="19">
        <v>0</v>
      </c>
      <c r="G2366" s="43">
        <v>0.21</v>
      </c>
    </row>
    <row r="2367" spans="1:7" x14ac:dyDescent="0.3">
      <c r="A2367" s="19">
        <v>2132</v>
      </c>
      <c r="B2367" s="19" t="s">
        <v>3343</v>
      </c>
      <c r="C2367" s="19" t="s">
        <v>899</v>
      </c>
      <c r="D2367" s="19" t="s">
        <v>1045</v>
      </c>
      <c r="E2367" s="19" t="s">
        <v>1118</v>
      </c>
      <c r="F2367" s="19">
        <v>0</v>
      </c>
      <c r="G2367" s="43">
        <v>0.28000000000000003</v>
      </c>
    </row>
    <row r="2368" spans="1:7" x14ac:dyDescent="0.3">
      <c r="A2368" s="19">
        <v>3240</v>
      </c>
      <c r="B2368" s="19" t="s">
        <v>3344</v>
      </c>
      <c r="C2368" s="19" t="s">
        <v>899</v>
      </c>
      <c r="D2368" s="19" t="s">
        <v>1045</v>
      </c>
      <c r="E2368" s="19" t="s">
        <v>1118</v>
      </c>
      <c r="F2368" s="19">
        <v>0</v>
      </c>
      <c r="G2368" s="43">
        <v>0.64</v>
      </c>
    </row>
    <row r="2369" spans="1:7" x14ac:dyDescent="0.3">
      <c r="A2369" s="19">
        <v>2090</v>
      </c>
      <c r="B2369" s="19" t="s">
        <v>3345</v>
      </c>
      <c r="C2369" s="19" t="s">
        <v>899</v>
      </c>
      <c r="D2369" s="19" t="s">
        <v>1045</v>
      </c>
      <c r="E2369" s="19" t="s">
        <v>1118</v>
      </c>
      <c r="F2369" s="19">
        <v>0</v>
      </c>
      <c r="G2369" s="43">
        <v>1.1000000000000001</v>
      </c>
    </row>
    <row r="2370" spans="1:7" x14ac:dyDescent="0.3">
      <c r="A2370" s="19">
        <v>3774</v>
      </c>
      <c r="B2370" s="19" t="s">
        <v>3346</v>
      </c>
      <c r="C2370" s="19" t="s">
        <v>899</v>
      </c>
      <c r="D2370" s="19" t="s">
        <v>1045</v>
      </c>
      <c r="E2370" s="19" t="s">
        <v>1118</v>
      </c>
      <c r="F2370" s="19">
        <v>0</v>
      </c>
      <c r="G2370" s="43">
        <v>0.3</v>
      </c>
    </row>
    <row r="2371" spans="1:7" x14ac:dyDescent="0.3">
      <c r="A2371" s="19">
        <v>2073</v>
      </c>
      <c r="B2371" s="19" t="s">
        <v>3347</v>
      </c>
      <c r="C2371" s="19" t="s">
        <v>899</v>
      </c>
      <c r="D2371" s="19" t="s">
        <v>1045</v>
      </c>
      <c r="E2371" s="19" t="s">
        <v>1118</v>
      </c>
      <c r="F2371" s="19">
        <v>0</v>
      </c>
      <c r="G2371" s="43">
        <v>0.28000000000000003</v>
      </c>
    </row>
    <row r="2372" spans="1:7" x14ac:dyDescent="0.3">
      <c r="A2372" s="19">
        <v>3372</v>
      </c>
      <c r="B2372" s="19" t="s">
        <v>3348</v>
      </c>
      <c r="C2372" s="19" t="s">
        <v>899</v>
      </c>
      <c r="D2372" s="19" t="s">
        <v>1045</v>
      </c>
      <c r="E2372" s="19" t="s">
        <v>1118</v>
      </c>
      <c r="F2372" s="19">
        <v>0</v>
      </c>
      <c r="G2372" s="43">
        <v>0.64</v>
      </c>
    </row>
    <row r="2373" spans="1:7" x14ac:dyDescent="0.3">
      <c r="A2373" s="19">
        <v>3373</v>
      </c>
      <c r="B2373" s="19" t="s">
        <v>3349</v>
      </c>
      <c r="C2373" s="19" t="s">
        <v>899</v>
      </c>
      <c r="D2373" s="19" t="s">
        <v>1045</v>
      </c>
      <c r="E2373" s="19" t="s">
        <v>1118</v>
      </c>
      <c r="F2373" s="19">
        <v>0</v>
      </c>
      <c r="G2373" s="43">
        <v>1.2</v>
      </c>
    </row>
    <row r="2374" spans="1:7" x14ac:dyDescent="0.3">
      <c r="A2374" s="19">
        <v>1744</v>
      </c>
      <c r="B2374" s="19" t="s">
        <v>3350</v>
      </c>
      <c r="C2374" s="19" t="s">
        <v>899</v>
      </c>
      <c r="D2374" s="19" t="s">
        <v>1045</v>
      </c>
      <c r="E2374" s="19" t="s">
        <v>1118</v>
      </c>
      <c r="F2374" s="19">
        <v>0</v>
      </c>
      <c r="G2374" s="43">
        <v>0.28000000000000003</v>
      </c>
    </row>
    <row r="2375" spans="1:7" x14ac:dyDescent="0.3">
      <c r="A2375" s="19">
        <v>3239</v>
      </c>
      <c r="B2375" s="19" t="s">
        <v>3351</v>
      </c>
      <c r="C2375" s="19" t="s">
        <v>899</v>
      </c>
      <c r="D2375" s="19" t="s">
        <v>1045</v>
      </c>
      <c r="E2375" s="19" t="s">
        <v>1118</v>
      </c>
      <c r="F2375" s="19">
        <v>0</v>
      </c>
      <c r="G2375" s="43">
        <v>0.69</v>
      </c>
    </row>
    <row r="2376" spans="1:7" x14ac:dyDescent="0.3">
      <c r="A2376" s="19">
        <v>3238</v>
      </c>
      <c r="B2376" s="19" t="s">
        <v>3352</v>
      </c>
      <c r="C2376" s="19" t="s">
        <v>899</v>
      </c>
      <c r="D2376" s="19" t="s">
        <v>1045</v>
      </c>
      <c r="E2376" s="19" t="s">
        <v>1118</v>
      </c>
      <c r="F2376" s="19">
        <v>0</v>
      </c>
      <c r="G2376" s="43">
        <v>0</v>
      </c>
    </row>
    <row r="2377" spans="1:7" x14ac:dyDescent="0.3">
      <c r="A2377" s="19">
        <v>2111</v>
      </c>
      <c r="B2377" s="19" t="s">
        <v>3353</v>
      </c>
      <c r="C2377" s="19" t="s">
        <v>899</v>
      </c>
      <c r="D2377" s="19" t="s">
        <v>1045</v>
      </c>
      <c r="E2377" s="19" t="s">
        <v>1118</v>
      </c>
      <c r="F2377" s="19">
        <v>0</v>
      </c>
      <c r="G2377" s="43">
        <v>1.1000000000000001</v>
      </c>
    </row>
    <row r="2378" spans="1:7" x14ac:dyDescent="0.3">
      <c r="A2378" s="19">
        <v>2039</v>
      </c>
      <c r="B2378" s="19" t="s">
        <v>3354</v>
      </c>
      <c r="C2378" s="19" t="s">
        <v>899</v>
      </c>
      <c r="D2378" s="19" t="s">
        <v>1045</v>
      </c>
      <c r="E2378" s="19" t="s">
        <v>1118</v>
      </c>
      <c r="F2378" s="19">
        <v>0</v>
      </c>
      <c r="G2378" s="43">
        <v>0.28000000000000003</v>
      </c>
    </row>
    <row r="2379" spans="1:7" x14ac:dyDescent="0.3">
      <c r="A2379" s="19">
        <v>2123</v>
      </c>
      <c r="B2379" s="19" t="s">
        <v>3355</v>
      </c>
      <c r="C2379" s="19" t="s">
        <v>899</v>
      </c>
      <c r="D2379" s="19" t="s">
        <v>1045</v>
      </c>
      <c r="E2379" s="19" t="s">
        <v>1118</v>
      </c>
      <c r="F2379" s="19">
        <v>0</v>
      </c>
      <c r="G2379" s="43">
        <v>0.28000000000000003</v>
      </c>
    </row>
    <row r="2380" spans="1:7" x14ac:dyDescent="0.3">
      <c r="A2380" s="19">
        <v>2440</v>
      </c>
      <c r="B2380" s="19" t="s">
        <v>3356</v>
      </c>
      <c r="C2380" s="19" t="s">
        <v>899</v>
      </c>
      <c r="D2380" s="19" t="s">
        <v>1045</v>
      </c>
      <c r="E2380" s="19" t="s">
        <v>1118</v>
      </c>
      <c r="F2380" s="19">
        <v>0</v>
      </c>
      <c r="G2380" s="43">
        <v>0.23</v>
      </c>
    </row>
    <row r="2381" spans="1:7" x14ac:dyDescent="0.3">
      <c r="A2381" s="19">
        <v>3371</v>
      </c>
      <c r="B2381" s="19" t="s">
        <v>3357</v>
      </c>
      <c r="C2381" s="19" t="s">
        <v>899</v>
      </c>
      <c r="D2381" s="19" t="s">
        <v>1045</v>
      </c>
      <c r="E2381" s="19" t="s">
        <v>1118</v>
      </c>
      <c r="F2381" s="19">
        <v>0</v>
      </c>
      <c r="G2381" s="43">
        <v>0.64</v>
      </c>
    </row>
    <row r="2382" spans="1:7" x14ac:dyDescent="0.3">
      <c r="A2382" s="19">
        <v>3773</v>
      </c>
      <c r="B2382" s="19" t="s">
        <v>3358</v>
      </c>
      <c r="C2382" s="19" t="s">
        <v>899</v>
      </c>
      <c r="D2382" s="19" t="s">
        <v>1045</v>
      </c>
      <c r="E2382" s="19" t="s">
        <v>1118</v>
      </c>
      <c r="F2382" s="19">
        <v>0</v>
      </c>
      <c r="G2382" s="43">
        <v>0</v>
      </c>
    </row>
    <row r="2383" spans="1:7" x14ac:dyDescent="0.3">
      <c r="A2383" s="19">
        <v>2034</v>
      </c>
      <c r="B2383" s="19" t="s">
        <v>3359</v>
      </c>
      <c r="C2383" s="19" t="s">
        <v>899</v>
      </c>
      <c r="D2383" s="19" t="s">
        <v>1045</v>
      </c>
      <c r="E2383" s="19" t="s">
        <v>1118</v>
      </c>
      <c r="F2383" s="19">
        <v>0</v>
      </c>
      <c r="G2383" s="43">
        <v>0.28000000000000003</v>
      </c>
    </row>
    <row r="2384" spans="1:7" x14ac:dyDescent="0.3">
      <c r="A2384" s="19">
        <v>2107</v>
      </c>
      <c r="B2384" s="19" t="s">
        <v>3360</v>
      </c>
      <c r="C2384" s="19" t="s">
        <v>899</v>
      </c>
      <c r="D2384" s="19" t="s">
        <v>1045</v>
      </c>
      <c r="E2384" s="19" t="s">
        <v>1118</v>
      </c>
      <c r="F2384" s="19">
        <v>0</v>
      </c>
      <c r="G2384" s="43">
        <v>0.32</v>
      </c>
    </row>
    <row r="2385" spans="1:7" x14ac:dyDescent="0.3">
      <c r="A2385" s="19">
        <v>2314</v>
      </c>
      <c r="B2385" s="19" t="s">
        <v>3361</v>
      </c>
      <c r="C2385" s="19" t="s">
        <v>899</v>
      </c>
      <c r="D2385" s="19" t="s">
        <v>1045</v>
      </c>
      <c r="E2385" s="19" t="s">
        <v>1118</v>
      </c>
      <c r="F2385" s="19">
        <v>0</v>
      </c>
      <c r="G2385" s="43">
        <v>0.22</v>
      </c>
    </row>
    <row r="2386" spans="1:7" x14ac:dyDescent="0.3">
      <c r="A2386" s="19">
        <v>2441</v>
      </c>
      <c r="B2386" s="19" t="s">
        <v>3362</v>
      </c>
      <c r="C2386" s="19" t="s">
        <v>899</v>
      </c>
      <c r="D2386" s="19" t="s">
        <v>1045</v>
      </c>
      <c r="E2386" s="19" t="s">
        <v>1118</v>
      </c>
      <c r="F2386" s="19">
        <v>0</v>
      </c>
      <c r="G2386" s="43">
        <v>0.28000000000000003</v>
      </c>
    </row>
    <row r="2387" spans="1:7" x14ac:dyDescent="0.3">
      <c r="A2387" s="19">
        <v>2442</v>
      </c>
      <c r="B2387" s="19" t="s">
        <v>3363</v>
      </c>
      <c r="C2387" s="19" t="s">
        <v>899</v>
      </c>
      <c r="D2387" s="19" t="s">
        <v>1045</v>
      </c>
      <c r="E2387" s="19" t="s">
        <v>1118</v>
      </c>
      <c r="F2387" s="19">
        <v>0</v>
      </c>
      <c r="G2387" s="43">
        <v>0.28000000000000003</v>
      </c>
    </row>
    <row r="2388" spans="1:7" x14ac:dyDescent="0.3">
      <c r="A2388" s="19">
        <v>2432</v>
      </c>
      <c r="B2388" s="19" t="s">
        <v>3364</v>
      </c>
      <c r="C2388" s="19" t="s">
        <v>899</v>
      </c>
      <c r="D2388" s="19" t="s">
        <v>1045</v>
      </c>
      <c r="E2388" s="19" t="s">
        <v>1118</v>
      </c>
      <c r="F2388" s="19">
        <v>0</v>
      </c>
      <c r="G2388" s="43">
        <v>0.2</v>
      </c>
    </row>
    <row r="2389" spans="1:7" x14ac:dyDescent="0.3">
      <c r="A2389" s="19">
        <v>906</v>
      </c>
      <c r="B2389" s="19" t="s">
        <v>3365</v>
      </c>
      <c r="C2389" s="19" t="s">
        <v>899</v>
      </c>
      <c r="D2389" s="19" t="s">
        <v>1045</v>
      </c>
      <c r="E2389" s="19" t="s">
        <v>1118</v>
      </c>
      <c r="F2389" s="19">
        <v>0</v>
      </c>
      <c r="G2389" s="43">
        <v>0.12</v>
      </c>
    </row>
    <row r="2390" spans="1:7" x14ac:dyDescent="0.3">
      <c r="A2390" s="19">
        <v>4094</v>
      </c>
      <c r="B2390" s="19" t="s">
        <v>3366</v>
      </c>
      <c r="C2390" s="19" t="s">
        <v>1338</v>
      </c>
      <c r="D2390" s="19" t="s">
        <v>1045</v>
      </c>
      <c r="E2390" s="19" t="s">
        <v>1118</v>
      </c>
      <c r="F2390" s="19">
        <v>1100</v>
      </c>
      <c r="G2390" s="43">
        <v>0.2</v>
      </c>
    </row>
    <row r="2391" spans="1:7" x14ac:dyDescent="0.3">
      <c r="A2391" s="19">
        <v>3706</v>
      </c>
      <c r="B2391" s="19" t="s">
        <v>3367</v>
      </c>
      <c r="C2391" s="19" t="s">
        <v>899</v>
      </c>
      <c r="D2391" s="19" t="s">
        <v>1045</v>
      </c>
      <c r="E2391" s="19" t="s">
        <v>1118</v>
      </c>
      <c r="F2391" s="19">
        <v>0</v>
      </c>
      <c r="G2391" s="43">
        <v>0.12</v>
      </c>
    </row>
    <row r="2392" spans="1:7" x14ac:dyDescent="0.3">
      <c r="A2392" s="19">
        <v>3282</v>
      </c>
      <c r="B2392" s="19" t="s">
        <v>3368</v>
      </c>
      <c r="C2392" s="19" t="s">
        <v>899</v>
      </c>
      <c r="D2392" s="19" t="s">
        <v>1045</v>
      </c>
      <c r="E2392" s="19" t="s">
        <v>1118</v>
      </c>
      <c r="F2392" s="19">
        <v>0</v>
      </c>
      <c r="G2392" s="43">
        <v>0.2</v>
      </c>
    </row>
    <row r="2393" spans="1:7" x14ac:dyDescent="0.3">
      <c r="A2393" s="19">
        <v>2188</v>
      </c>
      <c r="B2393" s="19" t="s">
        <v>3369</v>
      </c>
      <c r="C2393" s="19" t="s">
        <v>899</v>
      </c>
      <c r="D2393" s="19" t="s">
        <v>1045</v>
      </c>
      <c r="E2393" s="19" t="s">
        <v>1118</v>
      </c>
      <c r="F2393" s="19">
        <v>0</v>
      </c>
      <c r="G2393" s="43">
        <v>0.32</v>
      </c>
    </row>
    <row r="2394" spans="1:7" x14ac:dyDescent="0.3">
      <c r="A2394" s="19">
        <v>1690</v>
      </c>
      <c r="B2394" s="19" t="s">
        <v>3370</v>
      </c>
      <c r="C2394" s="19" t="s">
        <v>899</v>
      </c>
      <c r="D2394" s="19" t="s">
        <v>1045</v>
      </c>
      <c r="E2394" s="19" t="s">
        <v>1118</v>
      </c>
      <c r="F2394" s="19">
        <v>0</v>
      </c>
      <c r="G2394" s="43">
        <v>0.12</v>
      </c>
    </row>
    <row r="2395" spans="1:7" x14ac:dyDescent="0.3">
      <c r="A2395" s="19">
        <v>3008</v>
      </c>
      <c r="B2395" s="19" t="s">
        <v>3371</v>
      </c>
      <c r="C2395" s="19" t="s">
        <v>899</v>
      </c>
      <c r="D2395" s="19" t="s">
        <v>1045</v>
      </c>
      <c r="E2395" s="19" t="s">
        <v>1118</v>
      </c>
      <c r="F2395" s="19">
        <v>0</v>
      </c>
      <c r="G2395" s="43">
        <v>0.12</v>
      </c>
    </row>
    <row r="2396" spans="1:7" x14ac:dyDescent="0.3">
      <c r="A2396" s="19">
        <v>2378</v>
      </c>
      <c r="B2396" s="19" t="s">
        <v>3372</v>
      </c>
      <c r="C2396" s="19" t="s">
        <v>899</v>
      </c>
      <c r="D2396" s="19" t="s">
        <v>1045</v>
      </c>
      <c r="E2396" s="19" t="s">
        <v>1118</v>
      </c>
      <c r="F2396" s="19">
        <v>0</v>
      </c>
      <c r="G2396" s="43">
        <v>0.2</v>
      </c>
    </row>
    <row r="2397" spans="1:7" x14ac:dyDescent="0.3">
      <c r="A2397" s="19">
        <v>3654</v>
      </c>
      <c r="B2397" s="19" t="s">
        <v>3373</v>
      </c>
      <c r="C2397" s="19" t="s">
        <v>899</v>
      </c>
      <c r="D2397" s="19" t="s">
        <v>1045</v>
      </c>
      <c r="E2397" s="19" t="s">
        <v>1118</v>
      </c>
      <c r="F2397" s="19">
        <v>0</v>
      </c>
      <c r="G2397" s="43">
        <v>0.2</v>
      </c>
    </row>
    <row r="2398" spans="1:7" x14ac:dyDescent="0.3">
      <c r="A2398" s="19">
        <v>1707</v>
      </c>
      <c r="B2398" s="19" t="s">
        <v>3374</v>
      </c>
      <c r="C2398" s="19" t="s">
        <v>899</v>
      </c>
      <c r="D2398" s="19" t="s">
        <v>1045</v>
      </c>
      <c r="E2398" s="19" t="s">
        <v>1118</v>
      </c>
      <c r="F2398" s="19">
        <v>0</v>
      </c>
      <c r="G2398" s="43">
        <v>0.2</v>
      </c>
    </row>
    <row r="2399" spans="1:7" x14ac:dyDescent="0.3">
      <c r="A2399" s="19">
        <v>3717</v>
      </c>
      <c r="B2399" s="19" t="s">
        <v>3375</v>
      </c>
      <c r="C2399" s="19" t="s">
        <v>899</v>
      </c>
      <c r="D2399" s="19" t="s">
        <v>1045</v>
      </c>
      <c r="E2399" s="19" t="s">
        <v>1118</v>
      </c>
      <c r="F2399" s="19">
        <v>0</v>
      </c>
      <c r="G2399" s="43">
        <v>0.2</v>
      </c>
    </row>
    <row r="2400" spans="1:7" x14ac:dyDescent="0.3">
      <c r="A2400" s="19">
        <v>4022</v>
      </c>
      <c r="B2400" s="19" t="s">
        <v>3376</v>
      </c>
      <c r="C2400" s="19" t="s">
        <v>899</v>
      </c>
      <c r="D2400" s="19" t="s">
        <v>1045</v>
      </c>
      <c r="E2400" s="19" t="s">
        <v>1118</v>
      </c>
      <c r="F2400" s="19">
        <v>0</v>
      </c>
      <c r="G2400" s="43">
        <v>0</v>
      </c>
    </row>
    <row r="2401" spans="1:7" x14ac:dyDescent="0.3">
      <c r="A2401" s="19">
        <v>4024</v>
      </c>
      <c r="B2401" s="19" t="s">
        <v>3377</v>
      </c>
      <c r="C2401" s="19" t="s">
        <v>899</v>
      </c>
      <c r="D2401" s="19" t="s">
        <v>1045</v>
      </c>
      <c r="E2401" s="19" t="s">
        <v>1118</v>
      </c>
      <c r="F2401" s="19">
        <v>0</v>
      </c>
      <c r="G2401" s="43">
        <v>0</v>
      </c>
    </row>
    <row r="2402" spans="1:7" x14ac:dyDescent="0.3">
      <c r="A2402" s="19">
        <v>4023</v>
      </c>
      <c r="B2402" s="19" t="s">
        <v>3378</v>
      </c>
      <c r="C2402" s="19" t="s">
        <v>899</v>
      </c>
      <c r="D2402" s="19" t="s">
        <v>1045</v>
      </c>
      <c r="E2402" s="19" t="s">
        <v>1118</v>
      </c>
      <c r="F2402" s="19">
        <v>0</v>
      </c>
      <c r="G2402" s="43">
        <v>0</v>
      </c>
    </row>
    <row r="2403" spans="1:7" x14ac:dyDescent="0.3">
      <c r="A2403" s="19">
        <v>2303</v>
      </c>
      <c r="B2403" s="19" t="s">
        <v>3379</v>
      </c>
      <c r="C2403" s="19" t="s">
        <v>899</v>
      </c>
      <c r="D2403" s="19" t="s">
        <v>1045</v>
      </c>
      <c r="E2403" s="19" t="s">
        <v>1118</v>
      </c>
      <c r="F2403" s="19">
        <v>0</v>
      </c>
      <c r="G2403" s="43">
        <v>0.2</v>
      </c>
    </row>
    <row r="2404" spans="1:7" x14ac:dyDescent="0.3">
      <c r="A2404" s="19">
        <v>2315</v>
      </c>
      <c r="B2404" s="19" t="s">
        <v>3380</v>
      </c>
      <c r="C2404" s="19" t="s">
        <v>899</v>
      </c>
      <c r="D2404" s="19" t="s">
        <v>1045</v>
      </c>
      <c r="E2404" s="19" t="s">
        <v>1118</v>
      </c>
      <c r="F2404" s="19">
        <v>0</v>
      </c>
      <c r="G2404" s="43">
        <v>0.2</v>
      </c>
    </row>
    <row r="2405" spans="1:7" x14ac:dyDescent="0.3">
      <c r="A2405" s="19">
        <v>2316</v>
      </c>
      <c r="B2405" s="19" t="s">
        <v>3381</v>
      </c>
      <c r="C2405" s="19" t="s">
        <v>899</v>
      </c>
      <c r="D2405" s="19" t="s">
        <v>1045</v>
      </c>
      <c r="E2405" s="19" t="s">
        <v>1118</v>
      </c>
      <c r="F2405" s="19">
        <v>0</v>
      </c>
      <c r="G2405" s="43">
        <v>0.2</v>
      </c>
    </row>
    <row r="2406" spans="1:7" x14ac:dyDescent="0.3">
      <c r="A2406" s="19">
        <v>2318</v>
      </c>
      <c r="B2406" s="19" t="s">
        <v>3382</v>
      </c>
      <c r="C2406" s="19" t="s">
        <v>899</v>
      </c>
      <c r="D2406" s="19" t="s">
        <v>1045</v>
      </c>
      <c r="E2406" s="19" t="s">
        <v>1118</v>
      </c>
      <c r="F2406" s="19">
        <v>0</v>
      </c>
      <c r="G2406" s="43">
        <v>0.2</v>
      </c>
    </row>
    <row r="2407" spans="1:7" x14ac:dyDescent="0.3">
      <c r="A2407" s="19">
        <v>2320</v>
      </c>
      <c r="B2407" s="19" t="s">
        <v>3383</v>
      </c>
      <c r="C2407" s="19" t="s">
        <v>899</v>
      </c>
      <c r="D2407" s="19" t="s">
        <v>1045</v>
      </c>
      <c r="E2407" s="19" t="s">
        <v>1118</v>
      </c>
      <c r="F2407" s="19">
        <v>0</v>
      </c>
      <c r="G2407" s="43">
        <v>0.2</v>
      </c>
    </row>
    <row r="2408" spans="1:7" x14ac:dyDescent="0.3">
      <c r="A2408" s="19">
        <v>2323</v>
      </c>
      <c r="B2408" s="19" t="s">
        <v>3384</v>
      </c>
      <c r="C2408" s="19" t="s">
        <v>899</v>
      </c>
      <c r="D2408" s="19" t="s">
        <v>1045</v>
      </c>
      <c r="E2408" s="19" t="s">
        <v>1118</v>
      </c>
      <c r="F2408" s="19">
        <v>0</v>
      </c>
      <c r="G2408" s="43">
        <v>0.2</v>
      </c>
    </row>
    <row r="2409" spans="1:7" x14ac:dyDescent="0.3">
      <c r="A2409" s="19">
        <v>2321</v>
      </c>
      <c r="B2409" s="19" t="s">
        <v>3385</v>
      </c>
      <c r="C2409" s="19" t="s">
        <v>899</v>
      </c>
      <c r="D2409" s="19" t="s">
        <v>1045</v>
      </c>
      <c r="E2409" s="19" t="s">
        <v>1118</v>
      </c>
      <c r="F2409" s="19">
        <v>0</v>
      </c>
      <c r="G2409" s="43">
        <v>0.2</v>
      </c>
    </row>
    <row r="2410" spans="1:7" x14ac:dyDescent="0.3">
      <c r="A2410" s="19">
        <v>3958</v>
      </c>
      <c r="B2410" s="19" t="s">
        <v>3386</v>
      </c>
      <c r="C2410" s="19" t="s">
        <v>899</v>
      </c>
      <c r="D2410" s="19" t="s">
        <v>1045</v>
      </c>
      <c r="E2410" s="19" t="s">
        <v>1118</v>
      </c>
      <c r="F2410" s="19">
        <v>0</v>
      </c>
      <c r="G2410" s="43">
        <v>0.2</v>
      </c>
    </row>
    <row r="2411" spans="1:7" x14ac:dyDescent="0.3">
      <c r="A2411" s="19">
        <v>2325</v>
      </c>
      <c r="B2411" s="19" t="s">
        <v>3387</v>
      </c>
      <c r="C2411" s="19" t="s">
        <v>899</v>
      </c>
      <c r="D2411" s="19" t="s">
        <v>1045</v>
      </c>
      <c r="E2411" s="19" t="s">
        <v>1118</v>
      </c>
      <c r="F2411" s="19">
        <v>0</v>
      </c>
      <c r="G2411" s="43">
        <v>0.2</v>
      </c>
    </row>
    <row r="2412" spans="1:7" x14ac:dyDescent="0.3">
      <c r="A2412" s="19">
        <v>2326</v>
      </c>
      <c r="B2412" s="19" t="s">
        <v>3388</v>
      </c>
      <c r="C2412" s="19" t="s">
        <v>899</v>
      </c>
      <c r="D2412" s="19" t="s">
        <v>1045</v>
      </c>
      <c r="E2412" s="19" t="s">
        <v>1118</v>
      </c>
      <c r="F2412" s="19">
        <v>0</v>
      </c>
      <c r="G2412" s="43">
        <v>0.2</v>
      </c>
    </row>
    <row r="2413" spans="1:7" x14ac:dyDescent="0.3">
      <c r="A2413" s="19">
        <v>2328</v>
      </c>
      <c r="B2413" s="19" t="s">
        <v>3389</v>
      </c>
      <c r="C2413" s="19" t="s">
        <v>899</v>
      </c>
      <c r="D2413" s="19" t="s">
        <v>1045</v>
      </c>
      <c r="E2413" s="19" t="s">
        <v>1118</v>
      </c>
      <c r="F2413" s="19">
        <v>0</v>
      </c>
      <c r="G2413" s="43">
        <v>0.2</v>
      </c>
    </row>
    <row r="2414" spans="1:7" x14ac:dyDescent="0.3">
      <c r="A2414" s="19">
        <v>1600</v>
      </c>
      <c r="B2414" s="19" t="s">
        <v>3390</v>
      </c>
      <c r="C2414" s="19" t="s">
        <v>899</v>
      </c>
      <c r="D2414" s="19" t="s">
        <v>1045</v>
      </c>
      <c r="E2414" s="19" t="s">
        <v>1118</v>
      </c>
      <c r="F2414" s="19">
        <v>0</v>
      </c>
      <c r="G2414" s="43">
        <v>0.12</v>
      </c>
    </row>
    <row r="2415" spans="1:7" x14ac:dyDescent="0.3">
      <c r="A2415" s="19">
        <v>2762</v>
      </c>
      <c r="B2415" s="19" t="s">
        <v>3391</v>
      </c>
      <c r="C2415" s="19" t="s">
        <v>899</v>
      </c>
      <c r="D2415" s="19" t="s">
        <v>1045</v>
      </c>
      <c r="E2415" s="19" t="s">
        <v>1118</v>
      </c>
      <c r="F2415" s="19">
        <v>0</v>
      </c>
      <c r="G2415" s="43">
        <v>0.12</v>
      </c>
    </row>
    <row r="2416" spans="1:7" x14ac:dyDescent="0.3">
      <c r="A2416" s="19">
        <v>3757</v>
      </c>
      <c r="B2416" s="19" t="s">
        <v>3392</v>
      </c>
      <c r="C2416" s="19" t="s">
        <v>899</v>
      </c>
      <c r="D2416" s="19" t="s">
        <v>1045</v>
      </c>
      <c r="E2416" s="19" t="s">
        <v>1118</v>
      </c>
      <c r="F2416" s="19">
        <v>0</v>
      </c>
      <c r="G2416" s="43">
        <v>0.2</v>
      </c>
    </row>
    <row r="2417" spans="1:7" x14ac:dyDescent="0.3">
      <c r="A2417" s="19">
        <v>3419</v>
      </c>
      <c r="B2417" s="19" t="s">
        <v>3393</v>
      </c>
      <c r="C2417" s="19" t="s">
        <v>899</v>
      </c>
      <c r="D2417" s="19" t="s">
        <v>1045</v>
      </c>
      <c r="E2417" s="19" t="s">
        <v>1118</v>
      </c>
      <c r="F2417" s="19">
        <v>0</v>
      </c>
      <c r="G2417" s="43">
        <v>0.2</v>
      </c>
    </row>
    <row r="2418" spans="1:7" x14ac:dyDescent="0.3">
      <c r="A2418" s="19">
        <v>3758</v>
      </c>
      <c r="B2418" s="19" t="s">
        <v>3394</v>
      </c>
      <c r="C2418" s="19" t="s">
        <v>899</v>
      </c>
      <c r="D2418" s="19" t="s">
        <v>1045</v>
      </c>
      <c r="E2418" s="19" t="s">
        <v>1118</v>
      </c>
      <c r="F2418" s="19">
        <v>0</v>
      </c>
      <c r="G2418" s="43">
        <v>0.2</v>
      </c>
    </row>
    <row r="2419" spans="1:7" x14ac:dyDescent="0.3">
      <c r="A2419" s="19">
        <v>3136</v>
      </c>
      <c r="B2419" s="19" t="s">
        <v>3395</v>
      </c>
      <c r="C2419" s="19" t="s">
        <v>899</v>
      </c>
      <c r="D2419" s="19" t="s">
        <v>1045</v>
      </c>
      <c r="E2419" s="19" t="s">
        <v>1118</v>
      </c>
      <c r="F2419" s="19">
        <v>0</v>
      </c>
      <c r="G2419" s="43">
        <v>0.2</v>
      </c>
    </row>
    <row r="2420" spans="1:7" x14ac:dyDescent="0.3">
      <c r="A2420" s="19">
        <v>2141</v>
      </c>
      <c r="B2420" s="19" t="s">
        <v>3396</v>
      </c>
      <c r="C2420" s="19" t="s">
        <v>899</v>
      </c>
      <c r="D2420" s="19" t="s">
        <v>1045</v>
      </c>
      <c r="E2420" s="19" t="s">
        <v>1118</v>
      </c>
      <c r="F2420" s="19">
        <v>0</v>
      </c>
      <c r="G2420" s="43">
        <v>0.2</v>
      </c>
    </row>
    <row r="2421" spans="1:7" x14ac:dyDescent="0.3">
      <c r="A2421" s="19">
        <v>3121</v>
      </c>
      <c r="B2421" s="19" t="s">
        <v>3397</v>
      </c>
      <c r="C2421" s="19" t="s">
        <v>899</v>
      </c>
      <c r="D2421" s="19" t="s">
        <v>1045</v>
      </c>
      <c r="E2421" s="19" t="s">
        <v>1118</v>
      </c>
      <c r="F2421" s="19">
        <v>0</v>
      </c>
      <c r="G2421" s="43">
        <v>0.12</v>
      </c>
    </row>
    <row r="2422" spans="1:7" x14ac:dyDescent="0.3">
      <c r="A2422" s="19">
        <v>3341</v>
      </c>
      <c r="B2422" s="19" t="s">
        <v>3398</v>
      </c>
      <c r="C2422" s="19" t="s">
        <v>899</v>
      </c>
      <c r="D2422" s="19" t="s">
        <v>1045</v>
      </c>
      <c r="E2422" s="19" t="s">
        <v>1118</v>
      </c>
      <c r="F2422" s="19">
        <v>0</v>
      </c>
      <c r="G2422" s="43">
        <v>0.2</v>
      </c>
    </row>
    <row r="2423" spans="1:7" x14ac:dyDescent="0.3">
      <c r="A2423" s="19">
        <v>3137</v>
      </c>
      <c r="B2423" s="19" t="s">
        <v>3399</v>
      </c>
      <c r="C2423" s="19" t="s">
        <v>899</v>
      </c>
      <c r="D2423" s="19" t="s">
        <v>1045</v>
      </c>
      <c r="E2423" s="19" t="s">
        <v>1118</v>
      </c>
      <c r="F2423" s="19">
        <v>0</v>
      </c>
      <c r="G2423" s="43">
        <v>0.12</v>
      </c>
    </row>
    <row r="2424" spans="1:7" x14ac:dyDescent="0.3">
      <c r="A2424" s="19">
        <v>3682</v>
      </c>
      <c r="B2424" s="19" t="s">
        <v>3400</v>
      </c>
      <c r="C2424" s="19" t="s">
        <v>899</v>
      </c>
      <c r="D2424" s="19" t="s">
        <v>1045</v>
      </c>
      <c r="E2424" s="19" t="s">
        <v>1118</v>
      </c>
      <c r="F2424" s="19">
        <v>0</v>
      </c>
      <c r="G2424" s="43">
        <v>0.2</v>
      </c>
    </row>
    <row r="2425" spans="1:7" x14ac:dyDescent="0.3">
      <c r="A2425" s="19">
        <v>1746</v>
      </c>
      <c r="B2425" s="19" t="s">
        <v>3401</v>
      </c>
      <c r="C2425" s="19" t="s">
        <v>899</v>
      </c>
      <c r="D2425" s="19" t="s">
        <v>1045</v>
      </c>
      <c r="E2425" s="19" t="s">
        <v>1118</v>
      </c>
      <c r="F2425" s="19">
        <v>0</v>
      </c>
      <c r="G2425" s="43">
        <v>0.2</v>
      </c>
    </row>
    <row r="2426" spans="1:7" x14ac:dyDescent="0.3">
      <c r="A2426" s="19">
        <v>1747</v>
      </c>
      <c r="B2426" s="19" t="s">
        <v>3402</v>
      </c>
      <c r="C2426" s="19" t="s">
        <v>899</v>
      </c>
      <c r="D2426" s="19" t="s">
        <v>1045</v>
      </c>
      <c r="E2426" s="19" t="s">
        <v>1118</v>
      </c>
      <c r="F2426" s="19">
        <v>0</v>
      </c>
      <c r="G2426" s="43">
        <v>0.2</v>
      </c>
    </row>
    <row r="2427" spans="1:7" x14ac:dyDescent="0.3">
      <c r="A2427" s="19">
        <v>1748</v>
      </c>
      <c r="B2427" s="19" t="s">
        <v>3403</v>
      </c>
      <c r="C2427" s="19" t="s">
        <v>899</v>
      </c>
      <c r="D2427" s="19" t="s">
        <v>1045</v>
      </c>
      <c r="E2427" s="19" t="s">
        <v>1118</v>
      </c>
      <c r="F2427" s="19">
        <v>0</v>
      </c>
      <c r="G2427" s="43">
        <v>0.2</v>
      </c>
    </row>
    <row r="2428" spans="1:7" x14ac:dyDescent="0.3">
      <c r="A2428" s="19">
        <v>2054</v>
      </c>
      <c r="B2428" s="19" t="s">
        <v>3404</v>
      </c>
      <c r="C2428" s="19" t="s">
        <v>899</v>
      </c>
      <c r="D2428" s="19" t="s">
        <v>1045</v>
      </c>
      <c r="E2428" s="19" t="s">
        <v>1118</v>
      </c>
      <c r="F2428" s="19">
        <v>0</v>
      </c>
      <c r="G2428" s="43">
        <v>0.2</v>
      </c>
    </row>
    <row r="2429" spans="1:7" x14ac:dyDescent="0.3">
      <c r="A2429" s="19">
        <v>1749</v>
      </c>
      <c r="B2429" s="19" t="s">
        <v>3405</v>
      </c>
      <c r="C2429" s="19" t="s">
        <v>899</v>
      </c>
      <c r="D2429" s="19" t="s">
        <v>1045</v>
      </c>
      <c r="E2429" s="19" t="s">
        <v>1118</v>
      </c>
      <c r="F2429" s="19">
        <v>0</v>
      </c>
      <c r="G2429" s="43">
        <v>0.2</v>
      </c>
    </row>
    <row r="2430" spans="1:7" x14ac:dyDescent="0.3">
      <c r="A2430" s="19">
        <v>1750</v>
      </c>
      <c r="B2430" s="19" t="s">
        <v>3406</v>
      </c>
      <c r="C2430" s="19" t="s">
        <v>899</v>
      </c>
      <c r="D2430" s="19" t="s">
        <v>1045</v>
      </c>
      <c r="E2430" s="19" t="s">
        <v>1118</v>
      </c>
      <c r="F2430" s="19">
        <v>0</v>
      </c>
      <c r="G2430" s="43">
        <v>0.2</v>
      </c>
    </row>
    <row r="2431" spans="1:7" x14ac:dyDescent="0.3">
      <c r="A2431" s="19">
        <v>1751</v>
      </c>
      <c r="B2431" s="19" t="s">
        <v>3407</v>
      </c>
      <c r="C2431" s="19" t="s">
        <v>899</v>
      </c>
      <c r="D2431" s="19" t="s">
        <v>1045</v>
      </c>
      <c r="E2431" s="19" t="s">
        <v>1118</v>
      </c>
      <c r="F2431" s="19">
        <v>0</v>
      </c>
      <c r="G2431" s="43">
        <v>0.2</v>
      </c>
    </row>
    <row r="2432" spans="1:7" x14ac:dyDescent="0.3">
      <c r="A2432" s="19">
        <v>1752</v>
      </c>
      <c r="B2432" s="19" t="s">
        <v>3408</v>
      </c>
      <c r="C2432" s="19" t="s">
        <v>899</v>
      </c>
      <c r="D2432" s="19" t="s">
        <v>1045</v>
      </c>
      <c r="E2432" s="19" t="s">
        <v>1118</v>
      </c>
      <c r="F2432" s="19">
        <v>0</v>
      </c>
      <c r="G2432" s="43">
        <v>0.2</v>
      </c>
    </row>
    <row r="2433" spans="1:7" x14ac:dyDescent="0.3">
      <c r="A2433" s="19">
        <v>2443</v>
      </c>
      <c r="B2433" s="19" t="s">
        <v>3409</v>
      </c>
      <c r="C2433" s="19" t="s">
        <v>899</v>
      </c>
      <c r="D2433" s="19" t="s">
        <v>1045</v>
      </c>
      <c r="E2433" s="19" t="s">
        <v>1118</v>
      </c>
      <c r="F2433" s="19">
        <v>0</v>
      </c>
      <c r="G2433" s="43">
        <v>0.55000000000000004</v>
      </c>
    </row>
    <row r="2434" spans="1:7" x14ac:dyDescent="0.3">
      <c r="A2434" s="19">
        <v>2444</v>
      </c>
      <c r="B2434" s="19" t="s">
        <v>3410</v>
      </c>
      <c r="C2434" s="19" t="s">
        <v>899</v>
      </c>
      <c r="D2434" s="19" t="s">
        <v>1045</v>
      </c>
      <c r="E2434" s="19" t="s">
        <v>1118</v>
      </c>
      <c r="F2434" s="19">
        <v>0</v>
      </c>
      <c r="G2434" s="43">
        <v>0.55000000000000004</v>
      </c>
    </row>
    <row r="2435" spans="1:7" x14ac:dyDescent="0.3">
      <c r="A2435" s="19">
        <v>2445</v>
      </c>
      <c r="B2435" s="19" t="s">
        <v>3411</v>
      </c>
      <c r="C2435" s="19" t="s">
        <v>899</v>
      </c>
      <c r="D2435" s="19" t="s">
        <v>1045</v>
      </c>
      <c r="E2435" s="19" t="s">
        <v>1118</v>
      </c>
      <c r="F2435" s="19">
        <v>0</v>
      </c>
      <c r="G2435" s="43">
        <v>0.55000000000000004</v>
      </c>
    </row>
    <row r="2436" spans="1:7" x14ac:dyDescent="0.3">
      <c r="A2436" s="19">
        <v>2894</v>
      </c>
      <c r="B2436" s="19" t="s">
        <v>3412</v>
      </c>
      <c r="C2436" s="19" t="s">
        <v>899</v>
      </c>
      <c r="D2436" s="19" t="s">
        <v>1045</v>
      </c>
      <c r="E2436" s="19" t="s">
        <v>1118</v>
      </c>
      <c r="F2436" s="19">
        <v>0</v>
      </c>
      <c r="G2436" s="43">
        <v>0.12</v>
      </c>
    </row>
    <row r="2437" spans="1:7" x14ac:dyDescent="0.3">
      <c r="A2437" s="19">
        <v>3342</v>
      </c>
      <c r="B2437" s="19" t="s">
        <v>3413</v>
      </c>
      <c r="C2437" s="19" t="s">
        <v>899</v>
      </c>
      <c r="D2437" s="19" t="s">
        <v>1045</v>
      </c>
      <c r="E2437" s="19" t="s">
        <v>1118</v>
      </c>
      <c r="F2437" s="19">
        <v>0</v>
      </c>
      <c r="G2437" s="43">
        <v>0.2</v>
      </c>
    </row>
    <row r="2438" spans="1:7" x14ac:dyDescent="0.3">
      <c r="A2438" s="19">
        <v>2759</v>
      </c>
      <c r="B2438" s="19" t="s">
        <v>3414</v>
      </c>
      <c r="C2438" s="19" t="s">
        <v>899</v>
      </c>
      <c r="D2438" s="19" t="s">
        <v>1045</v>
      </c>
      <c r="E2438" s="19" t="s">
        <v>1118</v>
      </c>
      <c r="F2438" s="19">
        <v>0</v>
      </c>
      <c r="G2438" s="43">
        <v>0.2</v>
      </c>
    </row>
    <row r="2439" spans="1:7" x14ac:dyDescent="0.3">
      <c r="A2439" s="19">
        <v>2760</v>
      </c>
      <c r="B2439" s="19" t="s">
        <v>3415</v>
      </c>
      <c r="C2439" s="19" t="s">
        <v>899</v>
      </c>
      <c r="D2439" s="19" t="s">
        <v>1045</v>
      </c>
      <c r="E2439" s="19" t="s">
        <v>1118</v>
      </c>
      <c r="F2439" s="19">
        <v>0</v>
      </c>
      <c r="G2439" s="43">
        <v>0.2</v>
      </c>
    </row>
    <row r="2440" spans="1:7" x14ac:dyDescent="0.3">
      <c r="A2440" s="19">
        <v>2766</v>
      </c>
      <c r="B2440" s="19" t="s">
        <v>3416</v>
      </c>
      <c r="C2440" s="19" t="s">
        <v>899</v>
      </c>
      <c r="D2440" s="19" t="s">
        <v>1045</v>
      </c>
      <c r="E2440" s="19" t="s">
        <v>1118</v>
      </c>
      <c r="F2440" s="19">
        <v>0</v>
      </c>
      <c r="G2440" s="43">
        <v>0.12</v>
      </c>
    </row>
    <row r="2441" spans="1:7" x14ac:dyDescent="0.3">
      <c r="A2441" s="19">
        <v>3615</v>
      </c>
      <c r="B2441" s="19" t="s">
        <v>3417</v>
      </c>
      <c r="C2441" s="19" t="s">
        <v>899</v>
      </c>
      <c r="D2441" s="19" t="s">
        <v>1045</v>
      </c>
      <c r="E2441" s="19" t="s">
        <v>1118</v>
      </c>
      <c r="F2441" s="19">
        <v>0</v>
      </c>
      <c r="G2441" s="43">
        <v>0.2</v>
      </c>
    </row>
    <row r="2442" spans="1:7" x14ac:dyDescent="0.3">
      <c r="A2442" s="19">
        <v>3262</v>
      </c>
      <c r="B2442" s="19" t="s">
        <v>3418</v>
      </c>
      <c r="C2442" s="19" t="s">
        <v>899</v>
      </c>
      <c r="D2442" s="19" t="s">
        <v>1045</v>
      </c>
      <c r="E2442" s="19" t="s">
        <v>1118</v>
      </c>
      <c r="F2442" s="19">
        <v>0</v>
      </c>
      <c r="G2442" s="43">
        <v>0.2</v>
      </c>
    </row>
    <row r="2443" spans="1:7" x14ac:dyDescent="0.3">
      <c r="A2443" s="19">
        <v>3573</v>
      </c>
      <c r="B2443" s="19" t="s">
        <v>3419</v>
      </c>
      <c r="C2443" s="19" t="s">
        <v>899</v>
      </c>
      <c r="D2443" s="19" t="s">
        <v>1045</v>
      </c>
      <c r="E2443" s="19" t="s">
        <v>1118</v>
      </c>
      <c r="F2443" s="19">
        <v>0</v>
      </c>
      <c r="G2443" s="43">
        <v>0.2</v>
      </c>
    </row>
    <row r="2444" spans="1:7" x14ac:dyDescent="0.3">
      <c r="A2444" s="19">
        <v>2765</v>
      </c>
      <c r="B2444" s="19" t="s">
        <v>3420</v>
      </c>
      <c r="C2444" s="19" t="s">
        <v>899</v>
      </c>
      <c r="D2444" s="19" t="s">
        <v>1045</v>
      </c>
      <c r="E2444" s="19" t="s">
        <v>1118</v>
      </c>
      <c r="F2444" s="19">
        <v>0</v>
      </c>
      <c r="G2444" s="43">
        <v>0.12</v>
      </c>
    </row>
    <row r="2445" spans="1:7" x14ac:dyDescent="0.3">
      <c r="A2445" s="19">
        <v>2963</v>
      </c>
      <c r="B2445" s="19" t="s">
        <v>3421</v>
      </c>
      <c r="C2445" s="19" t="s">
        <v>899</v>
      </c>
      <c r="D2445" s="19" t="s">
        <v>1045</v>
      </c>
      <c r="E2445" s="19" t="s">
        <v>1118</v>
      </c>
      <c r="F2445" s="19">
        <v>0</v>
      </c>
      <c r="G2445" s="43">
        <v>0.2</v>
      </c>
    </row>
    <row r="2446" spans="1:7" x14ac:dyDescent="0.3">
      <c r="A2446" s="19">
        <v>3069</v>
      </c>
      <c r="B2446" s="19" t="s">
        <v>3422</v>
      </c>
      <c r="C2446" s="19" t="s">
        <v>899</v>
      </c>
      <c r="D2446" s="19" t="s">
        <v>1045</v>
      </c>
      <c r="E2446" s="19" t="s">
        <v>1118</v>
      </c>
      <c r="F2446" s="19">
        <v>0</v>
      </c>
      <c r="G2446" s="43">
        <v>0.2</v>
      </c>
    </row>
    <row r="2447" spans="1:7" x14ac:dyDescent="0.3">
      <c r="A2447" s="19">
        <v>2761</v>
      </c>
      <c r="B2447" s="19" t="s">
        <v>3423</v>
      </c>
      <c r="C2447" s="19" t="s">
        <v>899</v>
      </c>
      <c r="D2447" s="19" t="s">
        <v>1045</v>
      </c>
      <c r="E2447" s="19" t="s">
        <v>1118</v>
      </c>
      <c r="F2447" s="19">
        <v>0</v>
      </c>
      <c r="G2447" s="43">
        <v>0.2</v>
      </c>
    </row>
    <row r="2448" spans="1:7" x14ac:dyDescent="0.3">
      <c r="A2448" s="19">
        <v>1754</v>
      </c>
      <c r="B2448" s="19" t="s">
        <v>3424</v>
      </c>
      <c r="C2448" s="19" t="s">
        <v>899</v>
      </c>
      <c r="D2448" s="19" t="s">
        <v>1045</v>
      </c>
      <c r="E2448" s="19" t="s">
        <v>1118</v>
      </c>
      <c r="F2448" s="19">
        <v>0</v>
      </c>
      <c r="G2448" s="43">
        <v>0.2</v>
      </c>
    </row>
    <row r="2449" spans="1:7" x14ac:dyDescent="0.3">
      <c r="A2449" s="19">
        <v>3420</v>
      </c>
      <c r="B2449" s="19" t="s">
        <v>3425</v>
      </c>
      <c r="C2449" s="19" t="s">
        <v>899</v>
      </c>
      <c r="D2449" s="19" t="s">
        <v>1045</v>
      </c>
      <c r="E2449" s="19" t="s">
        <v>1118</v>
      </c>
      <c r="F2449" s="19">
        <v>0</v>
      </c>
      <c r="G2449" s="43">
        <v>0.2</v>
      </c>
    </row>
    <row r="2450" spans="1:7" x14ac:dyDescent="0.3">
      <c r="A2450" s="19">
        <v>2960</v>
      </c>
      <c r="B2450" s="19" t="s">
        <v>3426</v>
      </c>
      <c r="C2450" s="19" t="s">
        <v>899</v>
      </c>
      <c r="D2450" s="19" t="s">
        <v>1045</v>
      </c>
      <c r="E2450" s="19" t="s">
        <v>1118</v>
      </c>
      <c r="F2450" s="19">
        <v>0</v>
      </c>
      <c r="G2450" s="43">
        <v>0.12</v>
      </c>
    </row>
    <row r="2451" spans="1:7" x14ac:dyDescent="0.3">
      <c r="A2451" s="19">
        <v>2763</v>
      </c>
      <c r="B2451" s="19" t="s">
        <v>3427</v>
      </c>
      <c r="C2451" s="19" t="s">
        <v>899</v>
      </c>
      <c r="D2451" s="19" t="s">
        <v>1045</v>
      </c>
      <c r="E2451" s="19" t="s">
        <v>1118</v>
      </c>
      <c r="F2451" s="19">
        <v>0</v>
      </c>
      <c r="G2451" s="43">
        <v>0.2</v>
      </c>
    </row>
    <row r="2452" spans="1:7" x14ac:dyDescent="0.3">
      <c r="A2452" s="19">
        <v>2944</v>
      </c>
      <c r="B2452" s="19" t="s">
        <v>3428</v>
      </c>
      <c r="C2452" s="19" t="s">
        <v>899</v>
      </c>
      <c r="D2452" s="19" t="s">
        <v>1045</v>
      </c>
      <c r="E2452" s="19" t="s">
        <v>1118</v>
      </c>
      <c r="F2452" s="19">
        <v>0</v>
      </c>
      <c r="G2452" s="43">
        <v>0.12</v>
      </c>
    </row>
    <row r="2453" spans="1:7" x14ac:dyDescent="0.3">
      <c r="A2453" s="19">
        <v>2113</v>
      </c>
      <c r="B2453" s="19" t="s">
        <v>3429</v>
      </c>
      <c r="C2453" s="19" t="s">
        <v>899</v>
      </c>
      <c r="D2453" s="19" t="s">
        <v>1045</v>
      </c>
      <c r="E2453" s="19" t="s">
        <v>1118</v>
      </c>
      <c r="F2453" s="19">
        <v>0</v>
      </c>
      <c r="G2453" s="43">
        <v>0.22</v>
      </c>
    </row>
    <row r="2454" spans="1:7" x14ac:dyDescent="0.3">
      <c r="A2454" s="19">
        <v>2764</v>
      </c>
      <c r="B2454" s="19" t="s">
        <v>3430</v>
      </c>
      <c r="C2454" s="19" t="s">
        <v>899</v>
      </c>
      <c r="D2454" s="19" t="s">
        <v>1045</v>
      </c>
      <c r="E2454" s="19" t="s">
        <v>1118</v>
      </c>
      <c r="F2454" s="19">
        <v>0</v>
      </c>
      <c r="G2454" s="43">
        <v>0.2</v>
      </c>
    </row>
    <row r="2455" spans="1:7" x14ac:dyDescent="0.3">
      <c r="A2455" s="19">
        <v>1755</v>
      </c>
      <c r="B2455" s="19" t="s">
        <v>3431</v>
      </c>
      <c r="C2455" s="19" t="s">
        <v>899</v>
      </c>
      <c r="D2455" s="19" t="s">
        <v>1045</v>
      </c>
      <c r="E2455" s="19" t="s">
        <v>1118</v>
      </c>
      <c r="F2455" s="19">
        <v>0</v>
      </c>
      <c r="G2455" s="43">
        <v>0.2</v>
      </c>
    </row>
    <row r="2456" spans="1:7" x14ac:dyDescent="0.3">
      <c r="A2456" s="19">
        <v>1319</v>
      </c>
      <c r="B2456" s="19" t="s">
        <v>3432</v>
      </c>
      <c r="C2456" s="19" t="s">
        <v>899</v>
      </c>
      <c r="D2456" s="19" t="s">
        <v>1045</v>
      </c>
      <c r="E2456" s="19" t="s">
        <v>1118</v>
      </c>
      <c r="F2456" s="19">
        <v>0</v>
      </c>
      <c r="G2456" s="43">
        <v>0.14000000000000001</v>
      </c>
    </row>
    <row r="2457" spans="1:7" x14ac:dyDescent="0.3">
      <c r="A2457" s="19">
        <v>1313</v>
      </c>
      <c r="B2457" s="19" t="s">
        <v>3433</v>
      </c>
      <c r="C2457" s="19" t="s">
        <v>899</v>
      </c>
      <c r="D2457" s="19" t="s">
        <v>1045</v>
      </c>
      <c r="E2457" s="19" t="s">
        <v>1118</v>
      </c>
      <c r="F2457" s="19">
        <v>0</v>
      </c>
      <c r="G2457" s="43">
        <v>0.12</v>
      </c>
    </row>
    <row r="2458" spans="1:7" x14ac:dyDescent="0.3">
      <c r="A2458" s="19">
        <v>1318</v>
      </c>
      <c r="B2458" s="19" t="s">
        <v>3434</v>
      </c>
      <c r="C2458" s="19" t="s">
        <v>899</v>
      </c>
      <c r="D2458" s="19" t="s">
        <v>1045</v>
      </c>
      <c r="E2458" s="19" t="s">
        <v>1118</v>
      </c>
      <c r="F2458" s="19">
        <v>0</v>
      </c>
      <c r="G2458" s="43">
        <v>0.14000000000000001</v>
      </c>
    </row>
    <row r="2459" spans="1:7" x14ac:dyDescent="0.3">
      <c r="A2459" s="19">
        <v>2164</v>
      </c>
      <c r="B2459" s="19" t="s">
        <v>3435</v>
      </c>
      <c r="C2459" s="19" t="s">
        <v>899</v>
      </c>
      <c r="D2459" s="19" t="s">
        <v>1045</v>
      </c>
      <c r="E2459" s="19" t="s">
        <v>1118</v>
      </c>
      <c r="F2459" s="19">
        <v>0</v>
      </c>
      <c r="G2459" s="43">
        <v>0.12</v>
      </c>
    </row>
    <row r="2460" spans="1:7" x14ac:dyDescent="0.3">
      <c r="A2460" s="19">
        <v>1320</v>
      </c>
      <c r="B2460" s="19" t="s">
        <v>3436</v>
      </c>
      <c r="C2460" s="19" t="s">
        <v>899</v>
      </c>
      <c r="D2460" s="19" t="s">
        <v>1045</v>
      </c>
      <c r="E2460" s="19" t="s">
        <v>1118</v>
      </c>
      <c r="F2460" s="19">
        <v>0</v>
      </c>
      <c r="G2460" s="43">
        <v>0.14000000000000001</v>
      </c>
    </row>
    <row r="2461" spans="1:7" x14ac:dyDescent="0.3">
      <c r="A2461" s="19">
        <v>2870</v>
      </c>
      <c r="B2461" s="19" t="s">
        <v>3437</v>
      </c>
      <c r="C2461" s="19" t="s">
        <v>899</v>
      </c>
      <c r="D2461" s="19" t="s">
        <v>1045</v>
      </c>
      <c r="E2461" s="19" t="s">
        <v>1118</v>
      </c>
      <c r="F2461" s="19">
        <v>0</v>
      </c>
      <c r="G2461" s="43">
        <v>0.12</v>
      </c>
    </row>
    <row r="2462" spans="1:7" x14ac:dyDescent="0.3">
      <c r="A2462" s="19">
        <v>2867</v>
      </c>
      <c r="B2462" s="19" t="s">
        <v>3438</v>
      </c>
      <c r="C2462" s="19" t="s">
        <v>899</v>
      </c>
      <c r="D2462" s="19" t="s">
        <v>1045</v>
      </c>
      <c r="E2462" s="19" t="s">
        <v>1118</v>
      </c>
      <c r="F2462" s="19">
        <v>0</v>
      </c>
      <c r="G2462" s="43">
        <v>0.12</v>
      </c>
    </row>
    <row r="2463" spans="1:7" x14ac:dyDescent="0.3">
      <c r="A2463" s="19">
        <v>1315</v>
      </c>
      <c r="B2463" s="19" t="s">
        <v>3439</v>
      </c>
      <c r="C2463" s="19" t="s">
        <v>899</v>
      </c>
      <c r="D2463" s="19" t="s">
        <v>1045</v>
      </c>
      <c r="E2463" s="19" t="s">
        <v>1118</v>
      </c>
      <c r="F2463" s="19">
        <v>0</v>
      </c>
      <c r="G2463" s="43">
        <v>0.12</v>
      </c>
    </row>
    <row r="2464" spans="1:7" x14ac:dyDescent="0.3">
      <c r="A2464" s="19">
        <v>1316</v>
      </c>
      <c r="B2464" s="19" t="s">
        <v>3440</v>
      </c>
      <c r="C2464" s="19" t="s">
        <v>899</v>
      </c>
      <c r="D2464" s="19" t="s">
        <v>1045</v>
      </c>
      <c r="E2464" s="19" t="s">
        <v>1118</v>
      </c>
      <c r="F2464" s="19">
        <v>0</v>
      </c>
      <c r="G2464" s="43">
        <v>0.14000000000000001</v>
      </c>
    </row>
    <row r="2465" spans="1:7" x14ac:dyDescent="0.3">
      <c r="A2465" s="19">
        <v>2234</v>
      </c>
      <c r="B2465" s="19" t="s">
        <v>3441</v>
      </c>
      <c r="C2465" s="19" t="s">
        <v>899</v>
      </c>
      <c r="D2465" s="19" t="s">
        <v>1045</v>
      </c>
      <c r="E2465" s="19" t="s">
        <v>1118</v>
      </c>
      <c r="F2465" s="19">
        <v>0</v>
      </c>
      <c r="G2465" s="43">
        <v>0.12</v>
      </c>
    </row>
    <row r="2466" spans="1:7" x14ac:dyDescent="0.3">
      <c r="A2466" s="19">
        <v>1031</v>
      </c>
      <c r="B2466" s="19" t="s">
        <v>3442</v>
      </c>
      <c r="C2466" s="19" t="s">
        <v>899</v>
      </c>
      <c r="D2466" s="19" t="s">
        <v>1045</v>
      </c>
      <c r="E2466" s="19" t="s">
        <v>1118</v>
      </c>
      <c r="F2466" s="19">
        <v>0</v>
      </c>
      <c r="G2466" s="43">
        <v>0.14000000000000001</v>
      </c>
    </row>
    <row r="2467" spans="1:7" x14ac:dyDescent="0.3">
      <c r="A2467" s="19">
        <v>2190</v>
      </c>
      <c r="B2467" s="19" t="s">
        <v>3443</v>
      </c>
      <c r="C2467" s="19" t="s">
        <v>899</v>
      </c>
      <c r="D2467" s="19" t="s">
        <v>1045</v>
      </c>
      <c r="E2467" s="19" t="s">
        <v>1118</v>
      </c>
      <c r="F2467" s="19">
        <v>0</v>
      </c>
      <c r="G2467" s="43">
        <v>0.12</v>
      </c>
    </row>
    <row r="2468" spans="1:7" x14ac:dyDescent="0.3">
      <c r="A2468" s="19">
        <v>1317</v>
      </c>
      <c r="B2468" s="19" t="s">
        <v>3444</v>
      </c>
      <c r="C2468" s="19" t="s">
        <v>899</v>
      </c>
      <c r="D2468" s="19" t="s">
        <v>1045</v>
      </c>
      <c r="E2468" s="19" t="s">
        <v>1118</v>
      </c>
      <c r="F2468" s="19">
        <v>0</v>
      </c>
      <c r="G2468" s="43">
        <v>0.14000000000000001</v>
      </c>
    </row>
    <row r="2469" spans="1:7" x14ac:dyDescent="0.3">
      <c r="A2469" s="19">
        <v>2422</v>
      </c>
      <c r="B2469" s="19" t="s">
        <v>3445</v>
      </c>
      <c r="C2469" s="19" t="s">
        <v>899</v>
      </c>
      <c r="D2469" s="19" t="s">
        <v>1045</v>
      </c>
      <c r="E2469" s="19" t="s">
        <v>1118</v>
      </c>
      <c r="F2469" s="19">
        <v>0</v>
      </c>
      <c r="G2469" s="43">
        <v>0.12</v>
      </c>
    </row>
    <row r="2470" spans="1:7" x14ac:dyDescent="0.3">
      <c r="A2470" s="19">
        <v>3009</v>
      </c>
      <c r="B2470" s="19" t="s">
        <v>3446</v>
      </c>
      <c r="C2470" s="19" t="s">
        <v>899</v>
      </c>
      <c r="D2470" s="19" t="s">
        <v>1045</v>
      </c>
      <c r="E2470" s="19" t="s">
        <v>1118</v>
      </c>
      <c r="F2470" s="19">
        <v>0</v>
      </c>
      <c r="G2470" s="43">
        <v>0.12</v>
      </c>
    </row>
    <row r="2471" spans="1:7" x14ac:dyDescent="0.3">
      <c r="A2471" s="19">
        <v>1167</v>
      </c>
      <c r="B2471" s="19" t="s">
        <v>3447</v>
      </c>
      <c r="C2471" s="19" t="s">
        <v>899</v>
      </c>
      <c r="D2471" s="19" t="s">
        <v>1045</v>
      </c>
      <c r="E2471" s="19" t="s">
        <v>1118</v>
      </c>
      <c r="F2471" s="19">
        <v>0</v>
      </c>
      <c r="G2471" s="43">
        <v>0.12</v>
      </c>
    </row>
    <row r="2472" spans="1:7" x14ac:dyDescent="0.3">
      <c r="A2472" s="19">
        <v>1215</v>
      </c>
      <c r="B2472" s="19" t="s">
        <v>3448</v>
      </c>
      <c r="C2472" s="19" t="s">
        <v>899</v>
      </c>
      <c r="D2472" s="19" t="s">
        <v>1045</v>
      </c>
      <c r="E2472" s="19" t="s">
        <v>1118</v>
      </c>
      <c r="F2472" s="19">
        <v>0</v>
      </c>
      <c r="G2472" s="43">
        <v>0.12</v>
      </c>
    </row>
    <row r="2473" spans="1:7" x14ac:dyDescent="0.3">
      <c r="A2473" s="19">
        <v>1314</v>
      </c>
      <c r="B2473" s="19" t="s">
        <v>3449</v>
      </c>
      <c r="C2473" s="19" t="s">
        <v>899</v>
      </c>
      <c r="D2473" s="19" t="s">
        <v>1045</v>
      </c>
      <c r="E2473" s="19" t="s">
        <v>1118</v>
      </c>
      <c r="F2473" s="19">
        <v>0</v>
      </c>
      <c r="G2473" s="43">
        <v>0.14000000000000001</v>
      </c>
    </row>
    <row r="2474" spans="1:7" x14ac:dyDescent="0.3">
      <c r="A2474" s="19">
        <v>2911</v>
      </c>
      <c r="B2474" s="19" t="s">
        <v>3450</v>
      </c>
      <c r="C2474" s="19" t="s">
        <v>899</v>
      </c>
      <c r="D2474" s="19" t="s">
        <v>1045</v>
      </c>
      <c r="E2474" s="19" t="s">
        <v>1118</v>
      </c>
      <c r="F2474" s="19">
        <v>0</v>
      </c>
      <c r="G2474" s="43">
        <v>0.12</v>
      </c>
    </row>
    <row r="2475" spans="1:7" x14ac:dyDescent="0.3">
      <c r="A2475" s="19">
        <v>3037</v>
      </c>
      <c r="B2475" s="19" t="s">
        <v>3451</v>
      </c>
      <c r="C2475" s="19" t="s">
        <v>899</v>
      </c>
      <c r="D2475" s="19" t="s">
        <v>1045</v>
      </c>
      <c r="E2475" s="19" t="s">
        <v>1118</v>
      </c>
      <c r="F2475" s="19">
        <v>0</v>
      </c>
      <c r="G2475" s="43">
        <v>0.12</v>
      </c>
    </row>
    <row r="2476" spans="1:7" x14ac:dyDescent="0.3">
      <c r="A2476" s="19">
        <v>1312</v>
      </c>
      <c r="B2476" s="19" t="s">
        <v>3452</v>
      </c>
      <c r="C2476" s="19" t="s">
        <v>899</v>
      </c>
      <c r="D2476" s="19" t="s">
        <v>1045</v>
      </c>
      <c r="E2476" s="19" t="s">
        <v>1118</v>
      </c>
      <c r="F2476" s="19">
        <v>0</v>
      </c>
      <c r="G2476" s="43">
        <v>0.14000000000000001</v>
      </c>
    </row>
    <row r="2477" spans="1:7" x14ac:dyDescent="0.3">
      <c r="A2477" s="19">
        <v>2424</v>
      </c>
      <c r="B2477" s="19" t="s">
        <v>3453</v>
      </c>
      <c r="C2477" s="19" t="s">
        <v>899</v>
      </c>
      <c r="D2477" s="19" t="s">
        <v>1045</v>
      </c>
      <c r="E2477" s="19" t="s">
        <v>1118</v>
      </c>
      <c r="F2477" s="19">
        <v>0</v>
      </c>
      <c r="G2477" s="43">
        <v>0.12</v>
      </c>
    </row>
    <row r="2478" spans="1:7" x14ac:dyDescent="0.3">
      <c r="A2478" s="19">
        <v>1311</v>
      </c>
      <c r="B2478" s="19" t="s">
        <v>3454</v>
      </c>
      <c r="C2478" s="19" t="s">
        <v>899</v>
      </c>
      <c r="D2478" s="19" t="s">
        <v>1045</v>
      </c>
      <c r="E2478" s="19" t="s">
        <v>1118</v>
      </c>
      <c r="F2478" s="19">
        <v>0</v>
      </c>
      <c r="G2478" s="43">
        <v>0.14000000000000001</v>
      </c>
    </row>
    <row r="2479" spans="1:7" x14ac:dyDescent="0.3">
      <c r="A2479" s="19">
        <v>2907</v>
      </c>
      <c r="B2479" s="19" t="s">
        <v>3455</v>
      </c>
      <c r="C2479" s="19" t="s">
        <v>899</v>
      </c>
      <c r="D2479" s="19" t="s">
        <v>1045</v>
      </c>
      <c r="E2479" s="19" t="s">
        <v>1118</v>
      </c>
      <c r="F2479" s="19">
        <v>0</v>
      </c>
      <c r="G2479" s="43">
        <v>0.12</v>
      </c>
    </row>
    <row r="2480" spans="1:7" x14ac:dyDescent="0.3">
      <c r="A2480" s="19">
        <v>2199</v>
      </c>
      <c r="B2480" s="19" t="s">
        <v>3456</v>
      </c>
      <c r="C2480" s="19" t="s">
        <v>899</v>
      </c>
      <c r="D2480" s="19" t="s">
        <v>1045</v>
      </c>
      <c r="E2480" s="19" t="s">
        <v>1118</v>
      </c>
      <c r="F2480" s="19">
        <v>0</v>
      </c>
      <c r="G2480" s="43">
        <v>0.12</v>
      </c>
    </row>
    <row r="2481" spans="1:7" x14ac:dyDescent="0.3">
      <c r="A2481" s="19">
        <v>2868</v>
      </c>
      <c r="B2481" s="19" t="s">
        <v>3457</v>
      </c>
      <c r="C2481" s="19" t="s">
        <v>899</v>
      </c>
      <c r="D2481" s="19" t="s">
        <v>1045</v>
      </c>
      <c r="E2481" s="19" t="s">
        <v>1118</v>
      </c>
      <c r="F2481" s="19">
        <v>0</v>
      </c>
      <c r="G2481" s="43">
        <v>0.12</v>
      </c>
    </row>
    <row r="2482" spans="1:7" x14ac:dyDescent="0.3">
      <c r="A2482" s="19">
        <v>963</v>
      </c>
      <c r="B2482" s="19" t="s">
        <v>3458</v>
      </c>
      <c r="C2482" s="19" t="s">
        <v>899</v>
      </c>
      <c r="D2482" s="19" t="s">
        <v>1045</v>
      </c>
      <c r="E2482" s="19" t="s">
        <v>1118</v>
      </c>
      <c r="F2482" s="19">
        <v>0</v>
      </c>
      <c r="G2482" s="43">
        <v>0.14000000000000001</v>
      </c>
    </row>
    <row r="2483" spans="1:7" x14ac:dyDescent="0.3">
      <c r="A2483" s="19">
        <v>2010</v>
      </c>
      <c r="B2483" s="19" t="s">
        <v>3459</v>
      </c>
      <c r="C2483" s="19" t="s">
        <v>899</v>
      </c>
      <c r="D2483" s="19" t="s">
        <v>1045</v>
      </c>
      <c r="E2483" s="19" t="s">
        <v>1118</v>
      </c>
      <c r="F2483" s="19">
        <v>0</v>
      </c>
      <c r="G2483" s="43">
        <v>0.12</v>
      </c>
    </row>
    <row r="2484" spans="1:7" x14ac:dyDescent="0.3">
      <c r="A2484" s="19">
        <v>964</v>
      </c>
      <c r="B2484" s="19" t="s">
        <v>3460</v>
      </c>
      <c r="C2484" s="19" t="s">
        <v>899</v>
      </c>
      <c r="D2484" s="19" t="s">
        <v>1045</v>
      </c>
      <c r="E2484" s="19" t="s">
        <v>1118</v>
      </c>
      <c r="F2484" s="19">
        <v>0</v>
      </c>
      <c r="G2484" s="43">
        <v>0.14000000000000001</v>
      </c>
    </row>
    <row r="2485" spans="1:7" x14ac:dyDescent="0.3">
      <c r="A2485" s="19">
        <v>2903</v>
      </c>
      <c r="B2485" s="19" t="s">
        <v>3461</v>
      </c>
      <c r="C2485" s="19" t="s">
        <v>899</v>
      </c>
      <c r="D2485" s="19" t="s">
        <v>1045</v>
      </c>
      <c r="E2485" s="19" t="s">
        <v>1118</v>
      </c>
      <c r="F2485" s="19">
        <v>0</v>
      </c>
      <c r="G2485" s="43">
        <v>0.12</v>
      </c>
    </row>
    <row r="2486" spans="1:7" x14ac:dyDescent="0.3">
      <c r="A2486" s="19">
        <v>2726</v>
      </c>
      <c r="B2486" s="19" t="s">
        <v>3462</v>
      </c>
      <c r="C2486" s="19" t="s">
        <v>899</v>
      </c>
      <c r="D2486" s="19" t="s">
        <v>1045</v>
      </c>
      <c r="E2486" s="19" t="s">
        <v>1118</v>
      </c>
      <c r="F2486" s="19">
        <v>0</v>
      </c>
      <c r="G2486" s="43">
        <v>0.12</v>
      </c>
    </row>
    <row r="2487" spans="1:7" x14ac:dyDescent="0.3">
      <c r="A2487" s="19">
        <v>2727</v>
      </c>
      <c r="B2487" s="19" t="s">
        <v>3463</v>
      </c>
      <c r="C2487" s="19" t="s">
        <v>899</v>
      </c>
      <c r="D2487" s="19" t="s">
        <v>1045</v>
      </c>
      <c r="E2487" s="19" t="s">
        <v>1118</v>
      </c>
      <c r="F2487" s="19">
        <v>0</v>
      </c>
      <c r="G2487" s="43">
        <v>0.12</v>
      </c>
    </row>
    <row r="2488" spans="1:7" x14ac:dyDescent="0.3">
      <c r="A2488" s="19">
        <v>2869</v>
      </c>
      <c r="B2488" s="19" t="s">
        <v>3464</v>
      </c>
      <c r="C2488" s="19" t="s">
        <v>899</v>
      </c>
      <c r="D2488" s="19" t="s">
        <v>1045</v>
      </c>
      <c r="E2488" s="19" t="s">
        <v>1118</v>
      </c>
      <c r="F2488" s="19">
        <v>0</v>
      </c>
      <c r="G2488" s="43">
        <v>0.12</v>
      </c>
    </row>
    <row r="2489" spans="1:7" x14ac:dyDescent="0.3">
      <c r="A2489" s="19">
        <v>1164</v>
      </c>
      <c r="B2489" s="19" t="s">
        <v>3465</v>
      </c>
      <c r="C2489" s="19" t="s">
        <v>899</v>
      </c>
      <c r="D2489" s="19" t="s">
        <v>1045</v>
      </c>
      <c r="E2489" s="19" t="s">
        <v>1118</v>
      </c>
      <c r="F2489" s="19">
        <v>0</v>
      </c>
      <c r="G2489" s="43">
        <v>0.14000000000000001</v>
      </c>
    </row>
    <row r="2490" spans="1:7" x14ac:dyDescent="0.3">
      <c r="A2490" s="19">
        <v>1029</v>
      </c>
      <c r="B2490" s="19" t="s">
        <v>3466</v>
      </c>
      <c r="C2490" s="19" t="s">
        <v>899</v>
      </c>
      <c r="D2490" s="19" t="s">
        <v>1045</v>
      </c>
      <c r="E2490" s="19" t="s">
        <v>1118</v>
      </c>
      <c r="F2490" s="19">
        <v>0</v>
      </c>
      <c r="G2490" s="43">
        <v>0.14000000000000001</v>
      </c>
    </row>
    <row r="2491" spans="1:7" x14ac:dyDescent="0.3">
      <c r="A2491" s="19">
        <v>1957</v>
      </c>
      <c r="B2491" s="19" t="s">
        <v>3467</v>
      </c>
      <c r="C2491" s="19" t="s">
        <v>899</v>
      </c>
      <c r="D2491" s="19" t="s">
        <v>1045</v>
      </c>
      <c r="E2491" s="19" t="s">
        <v>1118</v>
      </c>
      <c r="F2491" s="19">
        <v>0</v>
      </c>
      <c r="G2491" s="43">
        <v>0.12</v>
      </c>
    </row>
    <row r="2492" spans="1:7" x14ac:dyDescent="0.3">
      <c r="A2492" s="19">
        <v>1325</v>
      </c>
      <c r="B2492" s="19" t="s">
        <v>3468</v>
      </c>
      <c r="C2492" s="19" t="s">
        <v>899</v>
      </c>
      <c r="D2492" s="19" t="s">
        <v>1045</v>
      </c>
      <c r="E2492" s="19" t="s">
        <v>1118</v>
      </c>
      <c r="F2492" s="19">
        <v>0</v>
      </c>
      <c r="G2492" s="43">
        <v>0.12</v>
      </c>
    </row>
    <row r="2493" spans="1:7" x14ac:dyDescent="0.3">
      <c r="A2493" s="19">
        <v>1326</v>
      </c>
      <c r="B2493" s="19" t="s">
        <v>3469</v>
      </c>
      <c r="C2493" s="19" t="s">
        <v>899</v>
      </c>
      <c r="D2493" s="19" t="s">
        <v>1045</v>
      </c>
      <c r="E2493" s="19" t="s">
        <v>1118</v>
      </c>
      <c r="F2493" s="19">
        <v>0</v>
      </c>
      <c r="G2493" s="43">
        <v>0.12</v>
      </c>
    </row>
    <row r="2494" spans="1:7" x14ac:dyDescent="0.3">
      <c r="A2494" s="19">
        <v>2699</v>
      </c>
      <c r="B2494" s="19" t="s">
        <v>3470</v>
      </c>
      <c r="C2494" s="19" t="s">
        <v>899</v>
      </c>
      <c r="D2494" s="19" t="s">
        <v>1045</v>
      </c>
      <c r="E2494" s="19" t="s">
        <v>1118</v>
      </c>
      <c r="F2494" s="19">
        <v>0</v>
      </c>
      <c r="G2494" s="43">
        <v>0.12</v>
      </c>
    </row>
    <row r="2495" spans="1:7" x14ac:dyDescent="0.3">
      <c r="A2495" s="19">
        <v>3001</v>
      </c>
      <c r="B2495" s="19" t="s">
        <v>3471</v>
      </c>
      <c r="C2495" s="19" t="s">
        <v>899</v>
      </c>
      <c r="D2495" s="19" t="s">
        <v>1045</v>
      </c>
      <c r="E2495" s="19" t="s">
        <v>1118</v>
      </c>
      <c r="F2495" s="19">
        <v>0</v>
      </c>
      <c r="G2495" s="43">
        <v>0.12</v>
      </c>
    </row>
    <row r="2496" spans="1:7" x14ac:dyDescent="0.3">
      <c r="A2496" s="19">
        <v>1030</v>
      </c>
      <c r="B2496" s="19" t="s">
        <v>3472</v>
      </c>
      <c r="C2496" s="19" t="s">
        <v>899</v>
      </c>
      <c r="D2496" s="19" t="s">
        <v>1045</v>
      </c>
      <c r="E2496" s="19" t="s">
        <v>1118</v>
      </c>
      <c r="F2496" s="19">
        <v>0</v>
      </c>
      <c r="G2496" s="43">
        <v>0.14000000000000001</v>
      </c>
    </row>
    <row r="2497" spans="1:7" x14ac:dyDescent="0.3">
      <c r="A2497" s="19">
        <v>965</v>
      </c>
      <c r="B2497" s="19" t="s">
        <v>3473</v>
      </c>
      <c r="C2497" s="19" t="s">
        <v>899</v>
      </c>
      <c r="D2497" s="19" t="s">
        <v>1045</v>
      </c>
      <c r="E2497" s="19" t="s">
        <v>1118</v>
      </c>
      <c r="F2497" s="19">
        <v>0</v>
      </c>
      <c r="G2497" s="43">
        <v>0.14000000000000001</v>
      </c>
    </row>
    <row r="2498" spans="1:7" x14ac:dyDescent="0.3">
      <c r="A2498" s="19">
        <v>1329</v>
      </c>
      <c r="B2498" s="19" t="s">
        <v>3474</v>
      </c>
      <c r="C2498" s="19" t="s">
        <v>899</v>
      </c>
      <c r="D2498" s="19" t="s">
        <v>1045</v>
      </c>
      <c r="E2498" s="19" t="s">
        <v>1118</v>
      </c>
      <c r="F2498" s="19">
        <v>0</v>
      </c>
      <c r="G2498" s="43">
        <v>0.12</v>
      </c>
    </row>
    <row r="2499" spans="1:7" x14ac:dyDescent="0.3">
      <c r="A2499" s="19">
        <v>1867</v>
      </c>
      <c r="B2499" s="19" t="s">
        <v>3475</v>
      </c>
      <c r="C2499" s="19" t="s">
        <v>899</v>
      </c>
      <c r="D2499" s="19" t="s">
        <v>1045</v>
      </c>
      <c r="E2499" s="19" t="s">
        <v>1118</v>
      </c>
      <c r="F2499" s="19">
        <v>0</v>
      </c>
      <c r="G2499" s="43">
        <v>0.12</v>
      </c>
    </row>
    <row r="2500" spans="1:7" x14ac:dyDescent="0.3">
      <c r="A2500" s="19">
        <v>3048</v>
      </c>
      <c r="B2500" s="19" t="s">
        <v>3476</v>
      </c>
      <c r="C2500" s="19" t="s">
        <v>899</v>
      </c>
      <c r="D2500" s="19" t="s">
        <v>1045</v>
      </c>
      <c r="E2500" s="19" t="s">
        <v>1118</v>
      </c>
      <c r="F2500" s="19">
        <v>0</v>
      </c>
      <c r="G2500" s="43">
        <v>0.12</v>
      </c>
    </row>
    <row r="2501" spans="1:7" x14ac:dyDescent="0.3">
      <c r="A2501" s="19">
        <v>2070</v>
      </c>
      <c r="B2501" s="19" t="s">
        <v>3477</v>
      </c>
      <c r="C2501" s="19" t="s">
        <v>899</v>
      </c>
      <c r="D2501" s="19" t="s">
        <v>1045</v>
      </c>
      <c r="E2501" s="19" t="s">
        <v>1118</v>
      </c>
      <c r="F2501" s="19">
        <v>0</v>
      </c>
      <c r="G2501" s="43">
        <v>0.12</v>
      </c>
    </row>
    <row r="2502" spans="1:7" x14ac:dyDescent="0.3">
      <c r="A2502" s="19">
        <v>422</v>
      </c>
      <c r="B2502" s="19" t="s">
        <v>3478</v>
      </c>
      <c r="C2502" s="19" t="s">
        <v>899</v>
      </c>
      <c r="D2502" s="19" t="s">
        <v>1045</v>
      </c>
      <c r="E2502" s="19" t="s">
        <v>1118</v>
      </c>
      <c r="F2502" s="19">
        <v>0</v>
      </c>
      <c r="G2502" s="43">
        <v>0.12</v>
      </c>
    </row>
    <row r="2503" spans="1:7" x14ac:dyDescent="0.3">
      <c r="A2503" s="19">
        <v>1032</v>
      </c>
      <c r="B2503" s="19" t="s">
        <v>3479</v>
      </c>
      <c r="C2503" s="19" t="s">
        <v>899</v>
      </c>
      <c r="D2503" s="19" t="s">
        <v>1045</v>
      </c>
      <c r="E2503" s="19" t="s">
        <v>1118</v>
      </c>
      <c r="F2503" s="19">
        <v>0</v>
      </c>
      <c r="G2503" s="43">
        <v>0.12</v>
      </c>
    </row>
    <row r="2504" spans="1:7" x14ac:dyDescent="0.3">
      <c r="A2504" s="19">
        <v>966</v>
      </c>
      <c r="B2504" s="19" t="s">
        <v>3480</v>
      </c>
      <c r="C2504" s="19" t="s">
        <v>899</v>
      </c>
      <c r="D2504" s="19" t="s">
        <v>1045</v>
      </c>
      <c r="E2504" s="19" t="s">
        <v>1118</v>
      </c>
      <c r="F2504" s="19">
        <v>0</v>
      </c>
      <c r="G2504" s="43">
        <v>0.12</v>
      </c>
    </row>
    <row r="2505" spans="1:7" x14ac:dyDescent="0.3">
      <c r="A2505" s="19">
        <v>967</v>
      </c>
      <c r="B2505" s="19" t="s">
        <v>3481</v>
      </c>
      <c r="C2505" s="19" t="s">
        <v>899</v>
      </c>
      <c r="D2505" s="19" t="s">
        <v>1045</v>
      </c>
      <c r="E2505" s="19" t="s">
        <v>1118</v>
      </c>
      <c r="F2505" s="19">
        <v>0</v>
      </c>
      <c r="G2505" s="43">
        <v>0.14000000000000001</v>
      </c>
    </row>
    <row r="2506" spans="1:7" x14ac:dyDescent="0.3">
      <c r="A2506" s="19">
        <v>968</v>
      </c>
      <c r="B2506" s="19" t="s">
        <v>3482</v>
      </c>
      <c r="C2506" s="19" t="s">
        <v>899</v>
      </c>
      <c r="D2506" s="19" t="s">
        <v>1045</v>
      </c>
      <c r="E2506" s="19" t="s">
        <v>1118</v>
      </c>
      <c r="F2506" s="19">
        <v>0</v>
      </c>
      <c r="G2506" s="43">
        <v>0.14000000000000001</v>
      </c>
    </row>
    <row r="2507" spans="1:7" x14ac:dyDescent="0.3">
      <c r="A2507" s="19">
        <v>1033</v>
      </c>
      <c r="B2507" s="19" t="s">
        <v>3483</v>
      </c>
      <c r="C2507" s="19" t="s">
        <v>899</v>
      </c>
      <c r="D2507" s="19" t="s">
        <v>1045</v>
      </c>
      <c r="E2507" s="19" t="s">
        <v>1118</v>
      </c>
      <c r="F2507" s="19">
        <v>0</v>
      </c>
      <c r="G2507" s="43">
        <v>0.14000000000000001</v>
      </c>
    </row>
    <row r="2508" spans="1:7" x14ac:dyDescent="0.3">
      <c r="A2508" s="19">
        <v>2861</v>
      </c>
      <c r="B2508" s="19" t="s">
        <v>3484</v>
      </c>
      <c r="C2508" s="19" t="s">
        <v>899</v>
      </c>
      <c r="D2508" s="19" t="s">
        <v>1045</v>
      </c>
      <c r="E2508" s="19" t="s">
        <v>1118</v>
      </c>
      <c r="F2508" s="19">
        <v>0</v>
      </c>
      <c r="G2508" s="43">
        <v>0.12</v>
      </c>
    </row>
    <row r="2509" spans="1:7" x14ac:dyDescent="0.3">
      <c r="A2509" s="19">
        <v>1035</v>
      </c>
      <c r="B2509" s="19" t="s">
        <v>3485</v>
      </c>
      <c r="C2509" s="19" t="s">
        <v>899</v>
      </c>
      <c r="D2509" s="19" t="s">
        <v>1045</v>
      </c>
      <c r="E2509" s="19" t="s">
        <v>1118</v>
      </c>
      <c r="F2509" s="19">
        <v>0</v>
      </c>
      <c r="G2509" s="43">
        <v>0.14000000000000001</v>
      </c>
    </row>
    <row r="2510" spans="1:7" x14ac:dyDescent="0.3">
      <c r="A2510" s="19">
        <v>1036</v>
      </c>
      <c r="B2510" s="19" t="s">
        <v>3486</v>
      </c>
      <c r="C2510" s="19" t="s">
        <v>899</v>
      </c>
      <c r="D2510" s="19" t="s">
        <v>1045</v>
      </c>
      <c r="E2510" s="19" t="s">
        <v>1118</v>
      </c>
      <c r="F2510" s="19">
        <v>0</v>
      </c>
      <c r="G2510" s="43">
        <v>0.14000000000000001</v>
      </c>
    </row>
    <row r="2511" spans="1:7" x14ac:dyDescent="0.3">
      <c r="A2511" s="19">
        <v>1037</v>
      </c>
      <c r="B2511" s="19" t="s">
        <v>3487</v>
      </c>
      <c r="C2511" s="19" t="s">
        <v>899</v>
      </c>
      <c r="D2511" s="19" t="s">
        <v>1045</v>
      </c>
      <c r="E2511" s="19" t="s">
        <v>1118</v>
      </c>
      <c r="F2511" s="19">
        <v>0</v>
      </c>
      <c r="G2511" s="43">
        <v>0.14000000000000001</v>
      </c>
    </row>
    <row r="2512" spans="1:7" x14ac:dyDescent="0.3">
      <c r="A2512" s="19">
        <v>2873</v>
      </c>
      <c r="B2512" s="19" t="s">
        <v>3488</v>
      </c>
      <c r="C2512" s="19" t="s">
        <v>899</v>
      </c>
      <c r="D2512" s="19" t="s">
        <v>1045</v>
      </c>
      <c r="E2512" s="19" t="s">
        <v>1118</v>
      </c>
      <c r="F2512" s="19">
        <v>0</v>
      </c>
      <c r="G2512" s="43">
        <v>0.12</v>
      </c>
    </row>
    <row r="2513" spans="1:7" x14ac:dyDescent="0.3">
      <c r="A2513" s="19">
        <v>1038</v>
      </c>
      <c r="B2513" s="19" t="s">
        <v>3489</v>
      </c>
      <c r="C2513" s="19" t="s">
        <v>899</v>
      </c>
      <c r="D2513" s="19" t="s">
        <v>1045</v>
      </c>
      <c r="E2513" s="19" t="s">
        <v>1118</v>
      </c>
      <c r="F2513" s="19">
        <v>0</v>
      </c>
      <c r="G2513" s="43">
        <v>0.14000000000000001</v>
      </c>
    </row>
    <row r="2514" spans="1:7" x14ac:dyDescent="0.3">
      <c r="A2514" s="19">
        <v>1858</v>
      </c>
      <c r="B2514" s="19" t="s">
        <v>3490</v>
      </c>
      <c r="C2514" s="19" t="s">
        <v>899</v>
      </c>
      <c r="D2514" s="19" t="s">
        <v>1045</v>
      </c>
      <c r="E2514" s="19" t="s">
        <v>1118</v>
      </c>
      <c r="F2514" s="19">
        <v>0</v>
      </c>
      <c r="G2514" s="43">
        <v>0.12</v>
      </c>
    </row>
    <row r="2515" spans="1:7" x14ac:dyDescent="0.3">
      <c r="A2515" s="19">
        <v>1859</v>
      </c>
      <c r="B2515" s="19" t="s">
        <v>3491</v>
      </c>
      <c r="C2515" s="19" t="s">
        <v>899</v>
      </c>
      <c r="D2515" s="19" t="s">
        <v>1045</v>
      </c>
      <c r="E2515" s="19" t="s">
        <v>1118</v>
      </c>
      <c r="F2515" s="19">
        <v>0</v>
      </c>
      <c r="G2515" s="43">
        <v>0.14000000000000001</v>
      </c>
    </row>
    <row r="2516" spans="1:7" x14ac:dyDescent="0.3">
      <c r="A2516" s="19">
        <v>1166</v>
      </c>
      <c r="B2516" s="19" t="s">
        <v>3492</v>
      </c>
      <c r="C2516" s="19" t="s">
        <v>899</v>
      </c>
      <c r="D2516" s="19" t="s">
        <v>1045</v>
      </c>
      <c r="E2516" s="19" t="s">
        <v>1118</v>
      </c>
      <c r="F2516" s="19">
        <v>0</v>
      </c>
      <c r="G2516" s="43">
        <v>0.14000000000000001</v>
      </c>
    </row>
    <row r="2517" spans="1:7" x14ac:dyDescent="0.3">
      <c r="A2517" s="19">
        <v>1866</v>
      </c>
      <c r="B2517" s="19" t="s">
        <v>3493</v>
      </c>
      <c r="C2517" s="19" t="s">
        <v>899</v>
      </c>
      <c r="D2517" s="19" t="s">
        <v>1045</v>
      </c>
      <c r="E2517" s="19" t="s">
        <v>1118</v>
      </c>
      <c r="F2517" s="19">
        <v>0</v>
      </c>
      <c r="G2517" s="43">
        <v>0.12</v>
      </c>
    </row>
    <row r="2518" spans="1:7" x14ac:dyDescent="0.3">
      <c r="A2518" s="19">
        <v>2899</v>
      </c>
      <c r="B2518" s="19" t="s">
        <v>3494</v>
      </c>
      <c r="C2518" s="19" t="s">
        <v>899</v>
      </c>
      <c r="D2518" s="19" t="s">
        <v>1045</v>
      </c>
      <c r="E2518" s="19" t="s">
        <v>1118</v>
      </c>
      <c r="F2518" s="19">
        <v>0</v>
      </c>
      <c r="G2518" s="43">
        <v>0.12</v>
      </c>
    </row>
    <row r="2519" spans="1:7" x14ac:dyDescent="0.3">
      <c r="A2519" s="19">
        <v>2910</v>
      </c>
      <c r="B2519" s="19" t="s">
        <v>3495</v>
      </c>
      <c r="C2519" s="19" t="s">
        <v>899</v>
      </c>
      <c r="D2519" s="19" t="s">
        <v>1045</v>
      </c>
      <c r="E2519" s="19" t="s">
        <v>1118</v>
      </c>
      <c r="F2519" s="19">
        <v>0</v>
      </c>
      <c r="G2519" s="43">
        <v>0.12</v>
      </c>
    </row>
    <row r="2520" spans="1:7" x14ac:dyDescent="0.3">
      <c r="A2520" s="19">
        <v>2909</v>
      </c>
      <c r="B2520" s="19" t="s">
        <v>3496</v>
      </c>
      <c r="C2520" s="19" t="s">
        <v>899</v>
      </c>
      <c r="D2520" s="19" t="s">
        <v>1045</v>
      </c>
      <c r="E2520" s="19" t="s">
        <v>1118</v>
      </c>
      <c r="F2520" s="19">
        <v>0</v>
      </c>
      <c r="G2520" s="43">
        <v>0.12</v>
      </c>
    </row>
    <row r="2521" spans="1:7" x14ac:dyDescent="0.3">
      <c r="A2521" s="19">
        <v>2908</v>
      </c>
      <c r="B2521" s="19" t="s">
        <v>3497</v>
      </c>
      <c r="C2521" s="19" t="s">
        <v>899</v>
      </c>
      <c r="D2521" s="19" t="s">
        <v>1045</v>
      </c>
      <c r="E2521" s="19" t="s">
        <v>1118</v>
      </c>
      <c r="F2521" s="19">
        <v>0</v>
      </c>
      <c r="G2521" s="43">
        <v>0.12</v>
      </c>
    </row>
    <row r="2522" spans="1:7" x14ac:dyDescent="0.3">
      <c r="A2522" s="19">
        <v>1160</v>
      </c>
      <c r="B2522" s="19" t="s">
        <v>3498</v>
      </c>
      <c r="C2522" s="19" t="s">
        <v>899</v>
      </c>
      <c r="D2522" s="19" t="s">
        <v>1045</v>
      </c>
      <c r="E2522" s="19" t="s">
        <v>1118</v>
      </c>
      <c r="F2522" s="19">
        <v>0</v>
      </c>
      <c r="G2522" s="43">
        <v>0.14000000000000001</v>
      </c>
    </row>
    <row r="2523" spans="1:7" x14ac:dyDescent="0.3">
      <c r="A2523" s="19">
        <v>1040</v>
      </c>
      <c r="B2523" s="19" t="s">
        <v>3499</v>
      </c>
      <c r="C2523" s="19" t="s">
        <v>899</v>
      </c>
      <c r="D2523" s="19" t="s">
        <v>1045</v>
      </c>
      <c r="E2523" s="19" t="s">
        <v>1118</v>
      </c>
      <c r="F2523" s="19">
        <v>0</v>
      </c>
      <c r="G2523" s="43">
        <v>0.14000000000000001</v>
      </c>
    </row>
    <row r="2524" spans="1:7" x14ac:dyDescent="0.3">
      <c r="A2524" s="19">
        <v>1865</v>
      </c>
      <c r="B2524" s="19" t="s">
        <v>3500</v>
      </c>
      <c r="C2524" s="19" t="s">
        <v>899</v>
      </c>
      <c r="D2524" s="19" t="s">
        <v>1045</v>
      </c>
      <c r="E2524" s="19" t="s">
        <v>1118</v>
      </c>
      <c r="F2524" s="19">
        <v>0</v>
      </c>
      <c r="G2524" s="43">
        <v>0.12</v>
      </c>
    </row>
    <row r="2525" spans="1:7" x14ac:dyDescent="0.3">
      <c r="A2525" s="19">
        <v>969</v>
      </c>
      <c r="B2525" s="19" t="s">
        <v>3501</v>
      </c>
      <c r="C2525" s="19" t="s">
        <v>899</v>
      </c>
      <c r="D2525" s="19" t="s">
        <v>1045</v>
      </c>
      <c r="E2525" s="19" t="s">
        <v>1118</v>
      </c>
      <c r="F2525" s="19">
        <v>0</v>
      </c>
      <c r="G2525" s="43">
        <v>0.14000000000000001</v>
      </c>
    </row>
    <row r="2526" spans="1:7" x14ac:dyDescent="0.3">
      <c r="A2526" s="19">
        <v>1217</v>
      </c>
      <c r="B2526" s="19" t="s">
        <v>3502</v>
      </c>
      <c r="C2526" s="19" t="s">
        <v>899</v>
      </c>
      <c r="D2526" s="19" t="s">
        <v>1045</v>
      </c>
      <c r="E2526" s="19" t="s">
        <v>1118</v>
      </c>
      <c r="F2526" s="19">
        <v>0</v>
      </c>
      <c r="G2526" s="43">
        <v>0.14000000000000001</v>
      </c>
    </row>
    <row r="2527" spans="1:7" x14ac:dyDescent="0.3">
      <c r="A2527" s="19">
        <v>1330</v>
      </c>
      <c r="B2527" s="19" t="s">
        <v>3503</v>
      </c>
      <c r="C2527" s="19" t="s">
        <v>899</v>
      </c>
      <c r="D2527" s="19" t="s">
        <v>1045</v>
      </c>
      <c r="E2527" s="19" t="s">
        <v>1118</v>
      </c>
      <c r="F2527" s="19">
        <v>0</v>
      </c>
      <c r="G2527" s="43">
        <v>0.12</v>
      </c>
    </row>
    <row r="2528" spans="1:7" x14ac:dyDescent="0.3">
      <c r="A2528" s="19">
        <v>1041</v>
      </c>
      <c r="B2528" s="19" t="s">
        <v>3504</v>
      </c>
      <c r="C2528" s="19" t="s">
        <v>899</v>
      </c>
      <c r="D2528" s="19" t="s">
        <v>1045</v>
      </c>
      <c r="E2528" s="19" t="s">
        <v>1118</v>
      </c>
      <c r="F2528" s="19">
        <v>0</v>
      </c>
      <c r="G2528" s="43">
        <v>0.12</v>
      </c>
    </row>
    <row r="2529" spans="1:7" x14ac:dyDescent="0.3">
      <c r="A2529" s="19">
        <v>1042</v>
      </c>
      <c r="B2529" s="19" t="s">
        <v>3505</v>
      </c>
      <c r="C2529" s="19" t="s">
        <v>899</v>
      </c>
      <c r="D2529" s="19" t="s">
        <v>1045</v>
      </c>
      <c r="E2529" s="19" t="s">
        <v>1118</v>
      </c>
      <c r="F2529" s="19">
        <v>0</v>
      </c>
      <c r="G2529" s="43">
        <v>0.12</v>
      </c>
    </row>
    <row r="2530" spans="1:7" x14ac:dyDescent="0.3">
      <c r="A2530" s="19">
        <v>1222</v>
      </c>
      <c r="B2530" s="19" t="s">
        <v>3506</v>
      </c>
      <c r="C2530" s="19" t="s">
        <v>899</v>
      </c>
      <c r="D2530" s="19" t="s">
        <v>1045</v>
      </c>
      <c r="E2530" s="19" t="s">
        <v>1118</v>
      </c>
      <c r="F2530" s="19">
        <v>0</v>
      </c>
      <c r="G2530" s="43">
        <v>0.14000000000000001</v>
      </c>
    </row>
    <row r="2531" spans="1:7" x14ac:dyDescent="0.3">
      <c r="A2531" s="19">
        <v>1157</v>
      </c>
      <c r="B2531" s="19" t="s">
        <v>3507</v>
      </c>
      <c r="C2531" s="19" t="s">
        <v>899</v>
      </c>
      <c r="D2531" s="19" t="s">
        <v>1045</v>
      </c>
      <c r="E2531" s="19" t="s">
        <v>1118</v>
      </c>
      <c r="F2531" s="19">
        <v>0</v>
      </c>
      <c r="G2531" s="43">
        <v>0.12</v>
      </c>
    </row>
    <row r="2532" spans="1:7" x14ac:dyDescent="0.3">
      <c r="A2532" s="19">
        <v>1862</v>
      </c>
      <c r="B2532" s="19" t="s">
        <v>3508</v>
      </c>
      <c r="C2532" s="19" t="s">
        <v>899</v>
      </c>
      <c r="D2532" s="19" t="s">
        <v>1045</v>
      </c>
      <c r="E2532" s="19" t="s">
        <v>1118</v>
      </c>
      <c r="F2532" s="19">
        <v>0</v>
      </c>
      <c r="G2532" s="43">
        <v>0.12</v>
      </c>
    </row>
    <row r="2533" spans="1:7" x14ac:dyDescent="0.3">
      <c r="A2533" s="19">
        <v>1043</v>
      </c>
      <c r="B2533" s="19" t="s">
        <v>3509</v>
      </c>
      <c r="C2533" s="19" t="s">
        <v>899</v>
      </c>
      <c r="D2533" s="19" t="s">
        <v>1045</v>
      </c>
      <c r="E2533" s="19" t="s">
        <v>1118</v>
      </c>
      <c r="F2533" s="19">
        <v>0</v>
      </c>
      <c r="G2533" s="43">
        <v>0.14000000000000001</v>
      </c>
    </row>
    <row r="2534" spans="1:7" x14ac:dyDescent="0.3">
      <c r="A2534" s="19">
        <v>2294</v>
      </c>
      <c r="B2534" s="19" t="s">
        <v>3510</v>
      </c>
      <c r="C2534" s="19" t="s">
        <v>899</v>
      </c>
      <c r="D2534" s="19" t="s">
        <v>1045</v>
      </c>
      <c r="E2534" s="19" t="s">
        <v>1118</v>
      </c>
      <c r="F2534" s="19">
        <v>0</v>
      </c>
      <c r="G2534" s="43">
        <v>0.12</v>
      </c>
    </row>
    <row r="2535" spans="1:7" x14ac:dyDescent="0.3">
      <c r="A2535" s="19">
        <v>1158</v>
      </c>
      <c r="B2535" s="19" t="s">
        <v>3511</v>
      </c>
      <c r="C2535" s="19" t="s">
        <v>899</v>
      </c>
      <c r="D2535" s="19" t="s">
        <v>1045</v>
      </c>
      <c r="E2535" s="19" t="s">
        <v>1118</v>
      </c>
      <c r="F2535" s="19">
        <v>0</v>
      </c>
      <c r="G2535" s="43">
        <v>0.14000000000000001</v>
      </c>
    </row>
    <row r="2536" spans="1:7" x14ac:dyDescent="0.3">
      <c r="A2536" s="19">
        <v>3077</v>
      </c>
      <c r="B2536" s="19" t="s">
        <v>3512</v>
      </c>
      <c r="C2536" s="19" t="s">
        <v>899</v>
      </c>
      <c r="D2536" s="19" t="s">
        <v>1045</v>
      </c>
      <c r="E2536" s="19" t="s">
        <v>1118</v>
      </c>
      <c r="F2536" s="19">
        <v>0</v>
      </c>
      <c r="G2536" s="43">
        <v>0.12</v>
      </c>
    </row>
    <row r="2537" spans="1:7" x14ac:dyDescent="0.3">
      <c r="A2537" s="19">
        <v>1161</v>
      </c>
      <c r="B2537" s="19" t="s">
        <v>3513</v>
      </c>
      <c r="C2537" s="19" t="s">
        <v>899</v>
      </c>
      <c r="D2537" s="19" t="s">
        <v>1045</v>
      </c>
      <c r="E2537" s="19" t="s">
        <v>1118</v>
      </c>
      <c r="F2537" s="19">
        <v>0</v>
      </c>
      <c r="G2537" s="43">
        <v>0.14000000000000001</v>
      </c>
    </row>
    <row r="2538" spans="1:7" x14ac:dyDescent="0.3">
      <c r="A2538" s="19">
        <v>1324</v>
      </c>
      <c r="B2538" s="19" t="s">
        <v>3514</v>
      </c>
      <c r="C2538" s="19" t="s">
        <v>899</v>
      </c>
      <c r="D2538" s="19" t="s">
        <v>1045</v>
      </c>
      <c r="E2538" s="19" t="s">
        <v>1118</v>
      </c>
      <c r="F2538" s="19">
        <v>0</v>
      </c>
      <c r="G2538" s="43">
        <v>0.14000000000000001</v>
      </c>
    </row>
    <row r="2539" spans="1:7" x14ac:dyDescent="0.3">
      <c r="A2539" s="19">
        <v>1323</v>
      </c>
      <c r="B2539" s="19" t="s">
        <v>3515</v>
      </c>
      <c r="C2539" s="19" t="s">
        <v>899</v>
      </c>
      <c r="D2539" s="19" t="s">
        <v>1045</v>
      </c>
      <c r="E2539" s="19" t="s">
        <v>1118</v>
      </c>
      <c r="F2539" s="19">
        <v>0</v>
      </c>
      <c r="G2539" s="43">
        <v>0.14000000000000001</v>
      </c>
    </row>
    <row r="2540" spans="1:7" x14ac:dyDescent="0.3">
      <c r="A2540" s="19">
        <v>1045</v>
      </c>
      <c r="B2540" s="19" t="s">
        <v>3516</v>
      </c>
      <c r="C2540" s="19" t="s">
        <v>899</v>
      </c>
      <c r="D2540" s="19" t="s">
        <v>1045</v>
      </c>
      <c r="E2540" s="19" t="s">
        <v>1118</v>
      </c>
      <c r="F2540" s="19">
        <v>0</v>
      </c>
      <c r="G2540" s="43">
        <v>0.14000000000000001</v>
      </c>
    </row>
    <row r="2541" spans="1:7" x14ac:dyDescent="0.3">
      <c r="A2541" s="19">
        <v>1860</v>
      </c>
      <c r="B2541" s="19" t="s">
        <v>3517</v>
      </c>
      <c r="C2541" s="19" t="s">
        <v>899</v>
      </c>
      <c r="D2541" s="19" t="s">
        <v>1045</v>
      </c>
      <c r="E2541" s="19" t="s">
        <v>1118</v>
      </c>
      <c r="F2541" s="19">
        <v>0</v>
      </c>
      <c r="G2541" s="43">
        <v>0.12</v>
      </c>
    </row>
    <row r="2542" spans="1:7" x14ac:dyDescent="0.3">
      <c r="A2542" s="19">
        <v>1321</v>
      </c>
      <c r="B2542" s="19" t="s">
        <v>3518</v>
      </c>
      <c r="C2542" s="19" t="s">
        <v>899</v>
      </c>
      <c r="D2542" s="19" t="s">
        <v>1045</v>
      </c>
      <c r="E2542" s="19" t="s">
        <v>1118</v>
      </c>
      <c r="F2542" s="19">
        <v>0</v>
      </c>
      <c r="G2542" s="43">
        <v>0.14000000000000001</v>
      </c>
    </row>
    <row r="2543" spans="1:7" x14ac:dyDescent="0.3">
      <c r="A2543" s="19">
        <v>1046</v>
      </c>
      <c r="B2543" s="19" t="s">
        <v>3519</v>
      </c>
      <c r="C2543" s="19" t="s">
        <v>899</v>
      </c>
      <c r="D2543" s="19" t="s">
        <v>1045</v>
      </c>
      <c r="E2543" s="19" t="s">
        <v>1118</v>
      </c>
      <c r="F2543" s="19">
        <v>0</v>
      </c>
      <c r="G2543" s="43">
        <v>0.14000000000000001</v>
      </c>
    </row>
    <row r="2544" spans="1:7" x14ac:dyDescent="0.3">
      <c r="A2544" s="19">
        <v>1141</v>
      </c>
      <c r="B2544" s="19" t="s">
        <v>3520</v>
      </c>
      <c r="C2544" s="19" t="s">
        <v>899</v>
      </c>
      <c r="D2544" s="19" t="s">
        <v>1045</v>
      </c>
      <c r="E2544" s="19" t="s">
        <v>1118</v>
      </c>
      <c r="F2544" s="19">
        <v>0</v>
      </c>
      <c r="G2544" s="43">
        <v>0.14000000000000001</v>
      </c>
    </row>
    <row r="2545" spans="1:7" x14ac:dyDescent="0.3">
      <c r="A2545" s="19">
        <v>2731</v>
      </c>
      <c r="B2545" s="19" t="s">
        <v>3521</v>
      </c>
      <c r="C2545" s="19" t="s">
        <v>899</v>
      </c>
      <c r="D2545" s="19" t="s">
        <v>1045</v>
      </c>
      <c r="E2545" s="19" t="s">
        <v>1118</v>
      </c>
      <c r="F2545" s="19">
        <v>0</v>
      </c>
      <c r="G2545" s="43">
        <v>0.12</v>
      </c>
    </row>
    <row r="2546" spans="1:7" x14ac:dyDescent="0.3">
      <c r="A2546" s="19">
        <v>1958</v>
      </c>
      <c r="B2546" s="19" t="s">
        <v>3522</v>
      </c>
      <c r="C2546" s="19" t="s">
        <v>899</v>
      </c>
      <c r="D2546" s="19" t="s">
        <v>1045</v>
      </c>
      <c r="E2546" s="19" t="s">
        <v>1118</v>
      </c>
      <c r="F2546" s="19">
        <v>0</v>
      </c>
      <c r="G2546" s="43">
        <v>0.12</v>
      </c>
    </row>
    <row r="2547" spans="1:7" x14ac:dyDescent="0.3">
      <c r="A2547" s="19">
        <v>1049</v>
      </c>
      <c r="B2547" s="19" t="s">
        <v>3523</v>
      </c>
      <c r="C2547" s="19" t="s">
        <v>899</v>
      </c>
      <c r="D2547" s="19" t="s">
        <v>1045</v>
      </c>
      <c r="E2547" s="19" t="s">
        <v>1118</v>
      </c>
      <c r="F2547" s="19">
        <v>0</v>
      </c>
      <c r="G2547" s="43">
        <v>0.14000000000000001</v>
      </c>
    </row>
    <row r="2548" spans="1:7" x14ac:dyDescent="0.3">
      <c r="A2548" s="19">
        <v>2730</v>
      </c>
      <c r="B2548" s="19" t="s">
        <v>3524</v>
      </c>
      <c r="C2548" s="19" t="s">
        <v>899</v>
      </c>
      <c r="D2548" s="19" t="s">
        <v>1045</v>
      </c>
      <c r="E2548" s="19" t="s">
        <v>1118</v>
      </c>
      <c r="F2548" s="19">
        <v>0</v>
      </c>
      <c r="G2548" s="43">
        <v>0.12</v>
      </c>
    </row>
    <row r="2549" spans="1:7" x14ac:dyDescent="0.3">
      <c r="A2549" s="19">
        <v>1050</v>
      </c>
      <c r="B2549" s="19" t="s">
        <v>3525</v>
      </c>
      <c r="C2549" s="19" t="s">
        <v>899</v>
      </c>
      <c r="D2549" s="19" t="s">
        <v>1045</v>
      </c>
      <c r="E2549" s="19" t="s">
        <v>1118</v>
      </c>
      <c r="F2549" s="19">
        <v>0</v>
      </c>
      <c r="G2549" s="43">
        <v>0.14000000000000001</v>
      </c>
    </row>
    <row r="2550" spans="1:7" x14ac:dyDescent="0.3">
      <c r="A2550" s="19">
        <v>1856</v>
      </c>
      <c r="B2550" s="19" t="s">
        <v>3526</v>
      </c>
      <c r="C2550" s="19" t="s">
        <v>899</v>
      </c>
      <c r="D2550" s="19" t="s">
        <v>1045</v>
      </c>
      <c r="E2550" s="19" t="s">
        <v>1118</v>
      </c>
      <c r="F2550" s="19">
        <v>0</v>
      </c>
      <c r="G2550" s="43">
        <v>0.12</v>
      </c>
    </row>
    <row r="2551" spans="1:7" x14ac:dyDescent="0.3">
      <c r="A2551" s="19">
        <v>1857</v>
      </c>
      <c r="B2551" s="19" t="s">
        <v>3527</v>
      </c>
      <c r="C2551" s="19" t="s">
        <v>899</v>
      </c>
      <c r="D2551" s="19" t="s">
        <v>1045</v>
      </c>
      <c r="E2551" s="19" t="s">
        <v>1118</v>
      </c>
      <c r="F2551" s="19">
        <v>0</v>
      </c>
      <c r="G2551" s="43">
        <v>0.12</v>
      </c>
    </row>
    <row r="2552" spans="1:7" x14ac:dyDescent="0.3">
      <c r="A2552" s="19">
        <v>1163</v>
      </c>
      <c r="B2552" s="19" t="s">
        <v>3528</v>
      </c>
      <c r="C2552" s="19" t="s">
        <v>899</v>
      </c>
      <c r="D2552" s="19" t="s">
        <v>1045</v>
      </c>
      <c r="E2552" s="19" t="s">
        <v>1118</v>
      </c>
      <c r="F2552" s="19">
        <v>0</v>
      </c>
      <c r="G2552" s="43">
        <v>0.12</v>
      </c>
    </row>
    <row r="2553" spans="1:7" x14ac:dyDescent="0.3">
      <c r="A2553" s="19">
        <v>2308</v>
      </c>
      <c r="B2553" s="19" t="s">
        <v>3529</v>
      </c>
      <c r="C2553" s="19" t="s">
        <v>899</v>
      </c>
      <c r="D2553" s="19" t="s">
        <v>1045</v>
      </c>
      <c r="E2553" s="19" t="s">
        <v>1118</v>
      </c>
      <c r="F2553" s="19">
        <v>0</v>
      </c>
      <c r="G2553" s="43">
        <v>0.12</v>
      </c>
    </row>
    <row r="2554" spans="1:7" x14ac:dyDescent="0.3">
      <c r="A2554" s="19">
        <v>1168</v>
      </c>
      <c r="B2554" s="19" t="s">
        <v>3530</v>
      </c>
      <c r="C2554" s="19" t="s">
        <v>899</v>
      </c>
      <c r="D2554" s="19" t="s">
        <v>1045</v>
      </c>
      <c r="E2554" s="19" t="s">
        <v>1118</v>
      </c>
      <c r="F2554" s="19">
        <v>0</v>
      </c>
      <c r="G2554" s="43">
        <v>0.12</v>
      </c>
    </row>
    <row r="2555" spans="1:7" x14ac:dyDescent="0.3">
      <c r="A2555" s="19">
        <v>1218</v>
      </c>
      <c r="B2555" s="19" t="s">
        <v>3531</v>
      </c>
      <c r="C2555" s="19" t="s">
        <v>899</v>
      </c>
      <c r="D2555" s="19" t="s">
        <v>1045</v>
      </c>
      <c r="E2555" s="19" t="s">
        <v>1118</v>
      </c>
      <c r="F2555" s="19">
        <v>0</v>
      </c>
      <c r="G2555" s="43">
        <v>0.12</v>
      </c>
    </row>
    <row r="2556" spans="1:7" x14ac:dyDescent="0.3">
      <c r="A2556" s="19">
        <v>2919</v>
      </c>
      <c r="B2556" s="19" t="s">
        <v>3532</v>
      </c>
      <c r="C2556" s="19" t="s">
        <v>899</v>
      </c>
      <c r="D2556" s="19" t="s">
        <v>1045</v>
      </c>
      <c r="E2556" s="19" t="s">
        <v>1118</v>
      </c>
      <c r="F2556" s="19">
        <v>0</v>
      </c>
      <c r="G2556" s="43">
        <v>0.12</v>
      </c>
    </row>
    <row r="2557" spans="1:7" x14ac:dyDescent="0.3">
      <c r="A2557" s="19">
        <v>1322</v>
      </c>
      <c r="B2557" s="19" t="s">
        <v>3533</v>
      </c>
      <c r="C2557" s="19" t="s">
        <v>899</v>
      </c>
      <c r="D2557" s="19" t="s">
        <v>1045</v>
      </c>
      <c r="E2557" s="19" t="s">
        <v>1118</v>
      </c>
      <c r="F2557" s="19">
        <v>0</v>
      </c>
      <c r="G2557" s="43">
        <v>0.14000000000000001</v>
      </c>
    </row>
    <row r="2558" spans="1:7" x14ac:dyDescent="0.3">
      <c r="A2558" s="19">
        <v>1301</v>
      </c>
      <c r="B2558" s="19" t="s">
        <v>3534</v>
      </c>
      <c r="C2558" s="19" t="s">
        <v>899</v>
      </c>
      <c r="D2558" s="19" t="s">
        <v>1045</v>
      </c>
      <c r="E2558" s="19" t="s">
        <v>1118</v>
      </c>
      <c r="F2558" s="19">
        <v>0</v>
      </c>
      <c r="G2558" s="43">
        <v>0.12</v>
      </c>
    </row>
    <row r="2559" spans="1:7" x14ac:dyDescent="0.3">
      <c r="A2559" s="19">
        <v>11</v>
      </c>
      <c r="B2559" s="19" t="s">
        <v>3535</v>
      </c>
      <c r="C2559" s="19" t="s">
        <v>899</v>
      </c>
      <c r="D2559" s="19" t="s">
        <v>1045</v>
      </c>
      <c r="E2559" s="19" t="s">
        <v>1118</v>
      </c>
      <c r="F2559" s="19">
        <v>0</v>
      </c>
      <c r="G2559" s="43">
        <v>0.52</v>
      </c>
    </row>
    <row r="2560" spans="1:7" x14ac:dyDescent="0.3">
      <c r="A2560" s="19">
        <v>2967</v>
      </c>
      <c r="B2560" s="19" t="s">
        <v>3536</v>
      </c>
      <c r="C2560" s="19" t="s">
        <v>899</v>
      </c>
      <c r="D2560" s="19" t="s">
        <v>1045</v>
      </c>
      <c r="E2560" s="19" t="s">
        <v>1118</v>
      </c>
      <c r="F2560" s="19">
        <v>0</v>
      </c>
      <c r="G2560" s="43">
        <v>1.19</v>
      </c>
    </row>
    <row r="2561" spans="1:7" x14ac:dyDescent="0.3">
      <c r="A2561" s="19">
        <v>3</v>
      </c>
      <c r="B2561" s="19" t="s">
        <v>3537</v>
      </c>
      <c r="C2561" s="19" t="s">
        <v>899</v>
      </c>
      <c r="D2561" s="19" t="s">
        <v>1045</v>
      </c>
      <c r="E2561" s="19" t="s">
        <v>1118</v>
      </c>
      <c r="F2561" s="19">
        <v>0</v>
      </c>
      <c r="G2561" s="43">
        <v>0.48</v>
      </c>
    </row>
    <row r="2562" spans="1:7" x14ac:dyDescent="0.3">
      <c r="A2562" s="19">
        <v>17</v>
      </c>
      <c r="B2562" s="19" t="s">
        <v>3538</v>
      </c>
      <c r="C2562" s="19" t="s">
        <v>899</v>
      </c>
      <c r="D2562" s="19" t="s">
        <v>1045</v>
      </c>
      <c r="E2562" s="19" t="s">
        <v>1118</v>
      </c>
      <c r="F2562" s="19">
        <v>0</v>
      </c>
      <c r="G2562" s="43">
        <v>1.5</v>
      </c>
    </row>
    <row r="2563" spans="1:7" x14ac:dyDescent="0.3">
      <c r="A2563" s="19">
        <v>1861</v>
      </c>
      <c r="B2563" s="19" t="s">
        <v>3539</v>
      </c>
      <c r="C2563" s="19" t="s">
        <v>899</v>
      </c>
      <c r="D2563" s="19" t="s">
        <v>1045</v>
      </c>
      <c r="E2563" s="19" t="s">
        <v>1118</v>
      </c>
      <c r="F2563" s="19">
        <v>0</v>
      </c>
      <c r="G2563" s="43">
        <v>0.12</v>
      </c>
    </row>
    <row r="2564" spans="1:7" x14ac:dyDescent="0.3">
      <c r="A2564" s="19">
        <v>2980</v>
      </c>
      <c r="B2564" s="19" t="s">
        <v>3540</v>
      </c>
      <c r="C2564" s="19" t="s">
        <v>899</v>
      </c>
      <c r="D2564" s="19" t="s">
        <v>1045</v>
      </c>
      <c r="E2564" s="19" t="s">
        <v>1118</v>
      </c>
      <c r="F2564" s="19">
        <v>0</v>
      </c>
      <c r="G2564" s="43">
        <v>0.2</v>
      </c>
    </row>
    <row r="2565" spans="1:7" x14ac:dyDescent="0.3">
      <c r="A2565" s="19">
        <v>3083</v>
      </c>
      <c r="B2565" s="19" t="s">
        <v>3541</v>
      </c>
      <c r="C2565" s="19" t="s">
        <v>899</v>
      </c>
      <c r="D2565" s="19" t="s">
        <v>1045</v>
      </c>
      <c r="E2565" s="19" t="s">
        <v>1118</v>
      </c>
      <c r="F2565" s="19">
        <v>0</v>
      </c>
      <c r="G2565" s="43">
        <v>0.12</v>
      </c>
    </row>
    <row r="2566" spans="1:7" x14ac:dyDescent="0.3">
      <c r="A2566" s="19">
        <v>3078</v>
      </c>
      <c r="B2566" s="19" t="s">
        <v>3542</v>
      </c>
      <c r="C2566" s="19" t="s">
        <v>899</v>
      </c>
      <c r="D2566" s="19" t="s">
        <v>1045</v>
      </c>
      <c r="E2566" s="19" t="s">
        <v>1118</v>
      </c>
      <c r="F2566" s="19">
        <v>0</v>
      </c>
      <c r="G2566" s="43">
        <v>0.12</v>
      </c>
    </row>
    <row r="2567" spans="1:7" x14ac:dyDescent="0.3">
      <c r="A2567" s="19">
        <v>2865</v>
      </c>
      <c r="B2567" s="19" t="s">
        <v>3543</v>
      </c>
      <c r="C2567" s="19" t="s">
        <v>899</v>
      </c>
      <c r="D2567" s="19" t="s">
        <v>1045</v>
      </c>
      <c r="E2567" s="19" t="s">
        <v>1118</v>
      </c>
      <c r="F2567" s="19">
        <v>0</v>
      </c>
      <c r="G2567" s="43">
        <v>0.25</v>
      </c>
    </row>
    <row r="2568" spans="1:7" x14ac:dyDescent="0.3">
      <c r="A2568" s="19">
        <v>1224</v>
      </c>
      <c r="B2568" s="19" t="s">
        <v>3544</v>
      </c>
      <c r="C2568" s="19" t="s">
        <v>899</v>
      </c>
      <c r="D2568" s="19" t="s">
        <v>1045</v>
      </c>
      <c r="E2568" s="19" t="s">
        <v>1118</v>
      </c>
      <c r="F2568" s="19">
        <v>0</v>
      </c>
      <c r="G2568" s="43">
        <v>0.12</v>
      </c>
    </row>
    <row r="2569" spans="1:7" x14ac:dyDescent="0.3">
      <c r="A2569" s="19">
        <v>2866</v>
      </c>
      <c r="B2569" s="19" t="s">
        <v>3545</v>
      </c>
      <c r="C2569" s="19" t="s">
        <v>899</v>
      </c>
      <c r="D2569" s="19" t="s">
        <v>1045</v>
      </c>
      <c r="E2569" s="19" t="s">
        <v>1118</v>
      </c>
      <c r="F2569" s="19">
        <v>0</v>
      </c>
      <c r="G2569" s="43">
        <v>0.12</v>
      </c>
    </row>
    <row r="2570" spans="1:7" x14ac:dyDescent="0.3">
      <c r="A2570" s="19">
        <v>1327</v>
      </c>
      <c r="B2570" s="19" t="s">
        <v>3546</v>
      </c>
      <c r="C2570" s="19" t="s">
        <v>899</v>
      </c>
      <c r="D2570" s="19" t="s">
        <v>1045</v>
      </c>
      <c r="E2570" s="19" t="s">
        <v>1118</v>
      </c>
      <c r="F2570" s="19">
        <v>0</v>
      </c>
      <c r="G2570" s="43">
        <v>0.12</v>
      </c>
    </row>
    <row r="2571" spans="1:7" x14ac:dyDescent="0.3">
      <c r="A2571" s="19">
        <v>1165</v>
      </c>
      <c r="B2571" s="19" t="s">
        <v>3547</v>
      </c>
      <c r="C2571" s="19" t="s">
        <v>899</v>
      </c>
      <c r="D2571" s="19" t="s">
        <v>1045</v>
      </c>
      <c r="E2571" s="19" t="s">
        <v>1118</v>
      </c>
      <c r="F2571" s="19">
        <v>0</v>
      </c>
      <c r="G2571" s="43">
        <v>0.14000000000000001</v>
      </c>
    </row>
    <row r="2572" spans="1:7" x14ac:dyDescent="0.3">
      <c r="A2572" s="19">
        <v>3079</v>
      </c>
      <c r="B2572" s="19" t="s">
        <v>3548</v>
      </c>
      <c r="C2572" s="19" t="s">
        <v>899</v>
      </c>
      <c r="D2572" s="19" t="s">
        <v>1045</v>
      </c>
      <c r="E2572" s="19" t="s">
        <v>1118</v>
      </c>
      <c r="F2572" s="19">
        <v>0</v>
      </c>
      <c r="G2572" s="43">
        <v>0.12</v>
      </c>
    </row>
    <row r="2573" spans="1:7" x14ac:dyDescent="0.3">
      <c r="A2573" s="19">
        <v>3080</v>
      </c>
      <c r="B2573" s="19" t="s">
        <v>3549</v>
      </c>
      <c r="C2573" s="19" t="s">
        <v>899</v>
      </c>
      <c r="D2573" s="19" t="s">
        <v>1045</v>
      </c>
      <c r="E2573" s="19" t="s">
        <v>1118</v>
      </c>
      <c r="F2573" s="19">
        <v>0</v>
      </c>
      <c r="G2573" s="43">
        <v>0.12</v>
      </c>
    </row>
    <row r="2574" spans="1:7" x14ac:dyDescent="0.3">
      <c r="A2574" s="19">
        <v>3081</v>
      </c>
      <c r="B2574" s="19" t="s">
        <v>3550</v>
      </c>
      <c r="C2574" s="19" t="s">
        <v>899</v>
      </c>
      <c r="D2574" s="19" t="s">
        <v>1045</v>
      </c>
      <c r="E2574" s="19" t="s">
        <v>1118</v>
      </c>
      <c r="F2574" s="19">
        <v>0</v>
      </c>
      <c r="G2574" s="43">
        <v>0.12</v>
      </c>
    </row>
    <row r="2575" spans="1:7" x14ac:dyDescent="0.3">
      <c r="A2575" s="19">
        <v>3082</v>
      </c>
      <c r="B2575" s="19" t="s">
        <v>3551</v>
      </c>
      <c r="C2575" s="19" t="s">
        <v>899</v>
      </c>
      <c r="D2575" s="19" t="s">
        <v>1045</v>
      </c>
      <c r="E2575" s="19" t="s">
        <v>1118</v>
      </c>
      <c r="F2575" s="19">
        <v>0</v>
      </c>
      <c r="G2575" s="43">
        <v>0.12</v>
      </c>
    </row>
    <row r="2576" spans="1:7" x14ac:dyDescent="0.3">
      <c r="A2576" s="19">
        <v>2299</v>
      </c>
      <c r="B2576" s="19" t="s">
        <v>3552</v>
      </c>
      <c r="C2576" s="19" t="s">
        <v>899</v>
      </c>
      <c r="D2576" s="19" t="s">
        <v>1045</v>
      </c>
      <c r="E2576" s="19" t="s">
        <v>1118</v>
      </c>
      <c r="F2576" s="19">
        <v>0</v>
      </c>
      <c r="G2576" s="43">
        <v>0.12</v>
      </c>
    </row>
    <row r="2577" spans="1:7" x14ac:dyDescent="0.3">
      <c r="A2577" s="19">
        <v>1159</v>
      </c>
      <c r="B2577" s="19" t="s">
        <v>3553</v>
      </c>
      <c r="C2577" s="19" t="s">
        <v>899</v>
      </c>
      <c r="D2577" s="19" t="s">
        <v>1045</v>
      </c>
      <c r="E2577" s="19" t="s">
        <v>1118</v>
      </c>
      <c r="F2577" s="19">
        <v>0</v>
      </c>
      <c r="G2577" s="43">
        <v>0.14000000000000001</v>
      </c>
    </row>
    <row r="2578" spans="1:7" x14ac:dyDescent="0.3">
      <c r="A2578" s="19">
        <v>3967</v>
      </c>
      <c r="B2578" s="19" t="s">
        <v>3554</v>
      </c>
      <c r="C2578" s="19" t="s">
        <v>774</v>
      </c>
      <c r="D2578" s="19" t="s">
        <v>939</v>
      </c>
      <c r="E2578" s="19" t="s">
        <v>815</v>
      </c>
      <c r="F2578" s="19">
        <v>0</v>
      </c>
      <c r="G2578" s="43">
        <v>0</v>
      </c>
    </row>
    <row r="2579" spans="1:7" x14ac:dyDescent="0.3">
      <c r="A2579" s="19">
        <v>3724</v>
      </c>
      <c r="B2579" s="19" t="s">
        <v>3555</v>
      </c>
      <c r="C2579" s="19" t="s">
        <v>1024</v>
      </c>
      <c r="D2579" s="19" t="s">
        <v>3556</v>
      </c>
      <c r="E2579" s="19" t="s">
        <v>815</v>
      </c>
      <c r="F2579" s="19">
        <v>110</v>
      </c>
      <c r="G2579" s="43">
        <v>10.45</v>
      </c>
    </row>
    <row r="2580" spans="1:7" x14ac:dyDescent="0.3">
      <c r="A2580" s="19">
        <v>3725</v>
      </c>
      <c r="B2580" s="19" t="s">
        <v>3557</v>
      </c>
      <c r="C2580" s="19" t="s">
        <v>1024</v>
      </c>
      <c r="D2580" s="19" t="s">
        <v>3556</v>
      </c>
      <c r="E2580" s="19" t="s">
        <v>815</v>
      </c>
      <c r="F2580" s="19">
        <v>110</v>
      </c>
      <c r="G2580" s="43">
        <v>17.55</v>
      </c>
    </row>
    <row r="2581" spans="1:7" x14ac:dyDescent="0.3">
      <c r="A2581" s="19">
        <v>3579</v>
      </c>
      <c r="B2581" s="19" t="s">
        <v>3558</v>
      </c>
      <c r="C2581" s="19" t="s">
        <v>774</v>
      </c>
      <c r="D2581" s="19" t="s">
        <v>3559</v>
      </c>
      <c r="E2581" s="19" t="s">
        <v>932</v>
      </c>
      <c r="F2581" s="19">
        <v>0</v>
      </c>
      <c r="G2581" s="43">
        <v>19</v>
      </c>
    </row>
    <row r="2582" spans="1:7" x14ac:dyDescent="0.3">
      <c r="A2582" s="19">
        <v>3578</v>
      </c>
      <c r="B2582" s="19" t="s">
        <v>3560</v>
      </c>
      <c r="C2582" s="19" t="s">
        <v>774</v>
      </c>
      <c r="D2582" s="19" t="s">
        <v>3559</v>
      </c>
      <c r="E2582" s="19" t="s">
        <v>932</v>
      </c>
      <c r="F2582" s="19">
        <v>0</v>
      </c>
      <c r="G2582" s="43">
        <v>15</v>
      </c>
    </row>
    <row r="2583" spans="1:7" x14ac:dyDescent="0.3">
      <c r="A2583" s="19">
        <v>57</v>
      </c>
      <c r="B2583" s="19" t="s">
        <v>3561</v>
      </c>
      <c r="C2583" s="19" t="s">
        <v>774</v>
      </c>
      <c r="D2583" s="19" t="s">
        <v>857</v>
      </c>
      <c r="E2583" s="19" t="s">
        <v>815</v>
      </c>
      <c r="F2583" s="19">
        <v>0</v>
      </c>
      <c r="G2583" s="43">
        <v>27.5</v>
      </c>
    </row>
    <row r="2584" spans="1:7" x14ac:dyDescent="0.3">
      <c r="A2584" s="19">
        <v>31</v>
      </c>
      <c r="B2584" s="19" t="s">
        <v>3562</v>
      </c>
      <c r="C2584" s="19" t="s">
        <v>774</v>
      </c>
      <c r="D2584" s="19" t="s">
        <v>857</v>
      </c>
      <c r="E2584" s="19" t="s">
        <v>815</v>
      </c>
      <c r="F2584" s="19">
        <v>0</v>
      </c>
      <c r="G2584" s="43">
        <v>14.2</v>
      </c>
    </row>
  </sheetData>
  <autoFilter ref="A1:G2584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74C3C"/>
  </sheetPr>
  <dimension ref="A1:F49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50" customWidth="1"/>
    <col min="3" max="5" width="14" customWidth="1"/>
    <col min="6" max="6" width="24" customWidth="1"/>
  </cols>
  <sheetData>
    <row r="1" spans="1:6" x14ac:dyDescent="0.3">
      <c r="A1" s="47" t="s">
        <v>48</v>
      </c>
      <c r="B1" s="47" t="s">
        <v>167</v>
      </c>
      <c r="C1" s="47" t="s">
        <v>172</v>
      </c>
      <c r="D1" s="47" t="s">
        <v>3563</v>
      </c>
      <c r="E1" s="47" t="s">
        <v>3564</v>
      </c>
      <c r="F1" s="47" t="s">
        <v>3565</v>
      </c>
    </row>
    <row r="2" spans="1:6" x14ac:dyDescent="0.3">
      <c r="A2" s="19">
        <v>776</v>
      </c>
      <c r="B2" s="19" t="s">
        <v>3566</v>
      </c>
      <c r="C2" s="19" t="s">
        <v>3567</v>
      </c>
      <c r="D2" s="19">
        <v>0</v>
      </c>
      <c r="E2" s="19">
        <v>0</v>
      </c>
      <c r="F2" s="48" t="s">
        <v>3568</v>
      </c>
    </row>
    <row r="3" spans="1:6" x14ac:dyDescent="0.3">
      <c r="A3" s="19">
        <v>775</v>
      </c>
      <c r="B3" s="19" t="s">
        <v>3569</v>
      </c>
      <c r="C3" s="19" t="s">
        <v>3567</v>
      </c>
      <c r="D3" s="19">
        <v>0</v>
      </c>
      <c r="E3" s="19">
        <v>0</v>
      </c>
      <c r="F3" s="48" t="s">
        <v>3568</v>
      </c>
    </row>
    <row r="4" spans="1:6" x14ac:dyDescent="0.3">
      <c r="A4" s="19">
        <v>777</v>
      </c>
      <c r="B4" s="19" t="s">
        <v>3570</v>
      </c>
      <c r="C4" s="19" t="s">
        <v>3567</v>
      </c>
      <c r="D4" s="19">
        <v>0</v>
      </c>
      <c r="E4" s="19">
        <v>0</v>
      </c>
      <c r="F4" s="48" t="s">
        <v>3568</v>
      </c>
    </row>
    <row r="5" spans="1:6" x14ac:dyDescent="0.3">
      <c r="A5" s="19">
        <v>774</v>
      </c>
      <c r="B5" s="19" t="s">
        <v>3571</v>
      </c>
      <c r="C5" s="19" t="s">
        <v>3567</v>
      </c>
      <c r="D5" s="19">
        <v>0</v>
      </c>
      <c r="E5" s="19">
        <v>0</v>
      </c>
      <c r="F5" s="48" t="s">
        <v>3568</v>
      </c>
    </row>
    <row r="6" spans="1:6" x14ac:dyDescent="0.3">
      <c r="A6" s="19">
        <v>1107</v>
      </c>
      <c r="B6" s="19" t="s">
        <v>3572</v>
      </c>
      <c r="C6" s="19" t="s">
        <v>3567</v>
      </c>
      <c r="D6" s="19">
        <v>20.549206000000002</v>
      </c>
      <c r="E6" s="19">
        <v>0</v>
      </c>
      <c r="F6" s="48" t="s">
        <v>3568</v>
      </c>
    </row>
    <row r="7" spans="1:6" x14ac:dyDescent="0.3">
      <c r="A7" s="19">
        <v>746</v>
      </c>
      <c r="B7" s="19" t="s">
        <v>3573</v>
      </c>
      <c r="C7" s="19" t="s">
        <v>3567</v>
      </c>
      <c r="D7" s="19">
        <v>25.594799999999999</v>
      </c>
      <c r="E7" s="19">
        <v>75</v>
      </c>
      <c r="F7" s="48" t="s">
        <v>3568</v>
      </c>
    </row>
    <row r="8" spans="1:6" x14ac:dyDescent="0.3">
      <c r="A8" s="19">
        <v>960</v>
      </c>
      <c r="B8" s="19" t="s">
        <v>3574</v>
      </c>
      <c r="C8" s="19" t="s">
        <v>3567</v>
      </c>
      <c r="D8" s="19">
        <v>13.21162</v>
      </c>
      <c r="E8" s="19">
        <v>4</v>
      </c>
      <c r="F8" s="48" t="s">
        <v>3568</v>
      </c>
    </row>
    <row r="9" spans="1:6" x14ac:dyDescent="0.3">
      <c r="A9" s="19">
        <v>1108</v>
      </c>
      <c r="B9" s="19" t="s">
        <v>3575</v>
      </c>
      <c r="C9" s="19" t="s">
        <v>3567</v>
      </c>
      <c r="D9" s="19">
        <v>66.749899999999997</v>
      </c>
      <c r="E9" s="19">
        <v>0</v>
      </c>
      <c r="F9" s="48" t="s">
        <v>3568</v>
      </c>
    </row>
    <row r="10" spans="1:6" x14ac:dyDescent="0.3">
      <c r="A10" s="19">
        <v>1142</v>
      </c>
      <c r="B10" s="19" t="s">
        <v>3576</v>
      </c>
      <c r="C10" s="19" t="s">
        <v>3567</v>
      </c>
      <c r="D10" s="19">
        <v>21.067934999999999</v>
      </c>
      <c r="E10" s="19">
        <v>0</v>
      </c>
      <c r="F10" s="48" t="s">
        <v>3568</v>
      </c>
    </row>
    <row r="11" spans="1:6" x14ac:dyDescent="0.3">
      <c r="A11" s="19">
        <v>1062</v>
      </c>
      <c r="B11" s="19" t="s">
        <v>3577</v>
      </c>
      <c r="C11" s="19">
        <v>186</v>
      </c>
      <c r="D11" s="19">
        <v>3.6</v>
      </c>
      <c r="E11" s="19">
        <v>12</v>
      </c>
      <c r="F11" s="48" t="s">
        <v>3568</v>
      </c>
    </row>
    <row r="12" spans="1:6" x14ac:dyDescent="0.3">
      <c r="A12" s="19">
        <v>2050</v>
      </c>
      <c r="B12" s="19" t="s">
        <v>3578</v>
      </c>
      <c r="C12" s="19">
        <v>516</v>
      </c>
      <c r="D12" s="19">
        <v>0.23898259999999999</v>
      </c>
      <c r="E12" s="19">
        <v>0</v>
      </c>
      <c r="F12" s="48" t="s">
        <v>3568</v>
      </c>
    </row>
    <row r="13" spans="1:6" x14ac:dyDescent="0.3">
      <c r="A13" s="19">
        <v>1063</v>
      </c>
      <c r="B13" s="19" t="s">
        <v>3579</v>
      </c>
      <c r="C13" s="19">
        <v>422</v>
      </c>
      <c r="D13" s="19">
        <v>7.21</v>
      </c>
      <c r="E13" s="19">
        <v>0</v>
      </c>
      <c r="F13" s="48" t="s">
        <v>3568</v>
      </c>
    </row>
    <row r="14" spans="1:6" x14ac:dyDescent="0.3">
      <c r="A14" s="19">
        <v>2052</v>
      </c>
      <c r="B14" s="19" t="s">
        <v>3580</v>
      </c>
      <c r="C14" s="19">
        <v>517</v>
      </c>
      <c r="D14" s="19">
        <v>0.84187725000000002</v>
      </c>
      <c r="E14" s="19">
        <v>0</v>
      </c>
      <c r="F14" s="48" t="s">
        <v>3568</v>
      </c>
    </row>
    <row r="15" spans="1:6" x14ac:dyDescent="0.3">
      <c r="A15" s="19">
        <v>2049</v>
      </c>
      <c r="B15" s="19" t="s">
        <v>3581</v>
      </c>
      <c r="C15" s="19">
        <v>518</v>
      </c>
      <c r="D15" s="19">
        <v>0.89086200000000004</v>
      </c>
      <c r="E15" s="19">
        <v>0</v>
      </c>
      <c r="F15" s="48" t="s">
        <v>3568</v>
      </c>
    </row>
    <row r="16" spans="1:6" x14ac:dyDescent="0.3">
      <c r="A16" s="19">
        <v>829</v>
      </c>
      <c r="B16" s="19" t="s">
        <v>3582</v>
      </c>
      <c r="C16" s="19">
        <v>149</v>
      </c>
      <c r="D16" s="19">
        <v>7.55</v>
      </c>
      <c r="E16" s="19">
        <v>0</v>
      </c>
      <c r="F16" s="48" t="s">
        <v>3568</v>
      </c>
    </row>
    <row r="17" spans="1:6" x14ac:dyDescent="0.3">
      <c r="A17" s="19">
        <v>1075</v>
      </c>
      <c r="B17" s="19" t="s">
        <v>3583</v>
      </c>
      <c r="C17" s="19">
        <v>519</v>
      </c>
      <c r="D17" s="19">
        <v>7.12</v>
      </c>
      <c r="E17" s="19">
        <v>0</v>
      </c>
      <c r="F17" s="48" t="s">
        <v>3568</v>
      </c>
    </row>
    <row r="18" spans="1:6" x14ac:dyDescent="0.3">
      <c r="A18" s="19">
        <v>1134</v>
      </c>
      <c r="B18" s="19" t="s">
        <v>3584</v>
      </c>
      <c r="C18" s="19">
        <v>520</v>
      </c>
      <c r="D18" s="19">
        <v>6.82</v>
      </c>
      <c r="E18" s="19">
        <v>0</v>
      </c>
      <c r="F18" s="48" t="s">
        <v>3568</v>
      </c>
    </row>
    <row r="19" spans="1:6" x14ac:dyDescent="0.3">
      <c r="A19" s="19">
        <v>2055</v>
      </c>
      <c r="B19" s="19" t="s">
        <v>3585</v>
      </c>
      <c r="C19" s="19">
        <v>217</v>
      </c>
      <c r="D19" s="19">
        <v>2.54</v>
      </c>
      <c r="E19" s="19">
        <v>0</v>
      </c>
      <c r="F19" s="48" t="s">
        <v>3568</v>
      </c>
    </row>
    <row r="20" spans="1:6" x14ac:dyDescent="0.3">
      <c r="A20" s="19">
        <v>826</v>
      </c>
      <c r="B20" s="19" t="s">
        <v>3586</v>
      </c>
      <c r="C20" s="19">
        <v>201</v>
      </c>
      <c r="D20" s="19">
        <v>6.24</v>
      </c>
      <c r="E20" s="19">
        <v>0</v>
      </c>
      <c r="F20" s="48" t="s">
        <v>3568</v>
      </c>
    </row>
    <row r="21" spans="1:6" x14ac:dyDescent="0.3">
      <c r="A21" s="19">
        <v>2047</v>
      </c>
      <c r="B21" s="19" t="s">
        <v>3587</v>
      </c>
      <c r="C21" s="19">
        <v>521</v>
      </c>
      <c r="D21" s="19">
        <v>1.0444955600000001</v>
      </c>
      <c r="E21" s="19">
        <v>0</v>
      </c>
      <c r="F21" s="48" t="s">
        <v>3568</v>
      </c>
    </row>
    <row r="22" spans="1:6" x14ac:dyDescent="0.3">
      <c r="A22" s="19">
        <v>2048</v>
      </c>
      <c r="B22" s="19" t="s">
        <v>3588</v>
      </c>
      <c r="C22" s="19">
        <v>522</v>
      </c>
      <c r="D22" s="19">
        <v>0.89917811000000003</v>
      </c>
      <c r="E22" s="19">
        <v>0</v>
      </c>
      <c r="F22" s="48" t="s">
        <v>3568</v>
      </c>
    </row>
    <row r="23" spans="1:6" x14ac:dyDescent="0.3">
      <c r="A23" s="19">
        <v>2053</v>
      </c>
      <c r="B23" s="19" t="s">
        <v>3589</v>
      </c>
      <c r="C23" s="19">
        <v>523</v>
      </c>
      <c r="D23" s="19">
        <v>1.1033404</v>
      </c>
      <c r="E23" s="19">
        <v>0</v>
      </c>
      <c r="F23" s="48" t="s">
        <v>3568</v>
      </c>
    </row>
    <row r="24" spans="1:6" x14ac:dyDescent="0.3">
      <c r="A24" s="19">
        <v>2059</v>
      </c>
      <c r="B24" s="19" t="s">
        <v>3590</v>
      </c>
      <c r="C24" s="19">
        <v>269</v>
      </c>
      <c r="D24" s="19">
        <v>6.53</v>
      </c>
      <c r="E24" s="19">
        <v>0</v>
      </c>
      <c r="F24" s="48" t="s">
        <v>3568</v>
      </c>
    </row>
    <row r="25" spans="1:6" x14ac:dyDescent="0.3">
      <c r="A25" s="19">
        <v>828</v>
      </c>
      <c r="B25" s="19" t="s">
        <v>3591</v>
      </c>
      <c r="C25" s="19">
        <v>134</v>
      </c>
      <c r="D25" s="19">
        <v>4.45</v>
      </c>
      <c r="E25" s="19">
        <v>0</v>
      </c>
      <c r="F25" s="48" t="s">
        <v>3568</v>
      </c>
    </row>
    <row r="26" spans="1:6" x14ac:dyDescent="0.3">
      <c r="A26" s="19">
        <v>1113</v>
      </c>
      <c r="B26" s="19" t="s">
        <v>3592</v>
      </c>
      <c r="C26" s="19">
        <v>524</v>
      </c>
      <c r="D26" s="19">
        <v>3.27</v>
      </c>
      <c r="E26" s="19">
        <v>0</v>
      </c>
      <c r="F26" s="48" t="s">
        <v>3568</v>
      </c>
    </row>
    <row r="27" spans="1:6" x14ac:dyDescent="0.3">
      <c r="A27" s="19">
        <v>2051</v>
      </c>
      <c r="B27" s="19" t="s">
        <v>3593</v>
      </c>
      <c r="C27" s="19">
        <v>525</v>
      </c>
      <c r="D27" s="19">
        <v>0.69646072999999997</v>
      </c>
      <c r="E27" s="19">
        <v>0</v>
      </c>
      <c r="F27" s="48" t="s">
        <v>3568</v>
      </c>
    </row>
    <row r="28" spans="1:6" x14ac:dyDescent="0.3">
      <c r="A28" s="19">
        <v>827</v>
      </c>
      <c r="B28" s="19" t="s">
        <v>3594</v>
      </c>
      <c r="C28" s="19">
        <v>172</v>
      </c>
      <c r="D28" s="19">
        <v>4.5</v>
      </c>
      <c r="E28" s="19">
        <v>61</v>
      </c>
      <c r="F28" s="48" t="s">
        <v>3568</v>
      </c>
    </row>
    <row r="29" spans="1:6" x14ac:dyDescent="0.3">
      <c r="A29" s="19">
        <v>855</v>
      </c>
      <c r="B29" s="19" t="s">
        <v>3595</v>
      </c>
      <c r="C29" s="19">
        <v>245</v>
      </c>
      <c r="D29" s="19">
        <v>5.22</v>
      </c>
      <c r="E29" s="19">
        <v>0</v>
      </c>
      <c r="F29" s="48" t="s">
        <v>3568</v>
      </c>
    </row>
    <row r="30" spans="1:6" x14ac:dyDescent="0.3">
      <c r="A30" s="19">
        <v>1135</v>
      </c>
      <c r="B30" s="19" t="s">
        <v>3596</v>
      </c>
      <c r="C30" s="19">
        <v>526</v>
      </c>
      <c r="D30" s="19">
        <v>3.26</v>
      </c>
      <c r="E30" s="19">
        <v>0</v>
      </c>
      <c r="F30" s="48" t="s">
        <v>3568</v>
      </c>
    </row>
    <row r="31" spans="1:6" x14ac:dyDescent="0.3">
      <c r="A31" s="19">
        <v>1450</v>
      </c>
      <c r="B31" s="19" t="s">
        <v>3597</v>
      </c>
      <c r="C31" s="19">
        <v>549</v>
      </c>
      <c r="D31" s="19">
        <v>2.6113900000000001</v>
      </c>
      <c r="E31" s="19">
        <v>0</v>
      </c>
      <c r="F31" s="48" t="s">
        <v>3568</v>
      </c>
    </row>
    <row r="32" spans="1:6" x14ac:dyDescent="0.3">
      <c r="A32" s="19">
        <v>1449</v>
      </c>
      <c r="B32" s="19" t="s">
        <v>3598</v>
      </c>
      <c r="C32" s="19">
        <v>550</v>
      </c>
      <c r="D32" s="19">
        <v>2.6113900000000001</v>
      </c>
      <c r="E32" s="19">
        <v>0</v>
      </c>
      <c r="F32" s="48" t="s">
        <v>3568</v>
      </c>
    </row>
    <row r="33" spans="1:6" x14ac:dyDescent="0.3">
      <c r="A33" s="19">
        <v>1448</v>
      </c>
      <c r="B33" s="19" t="s">
        <v>3599</v>
      </c>
      <c r="C33" s="19">
        <v>551</v>
      </c>
      <c r="D33" s="19">
        <v>2.6113900000000001</v>
      </c>
      <c r="E33" s="19">
        <v>0</v>
      </c>
      <c r="F33" s="48" t="s">
        <v>3568</v>
      </c>
    </row>
    <row r="34" spans="1:6" x14ac:dyDescent="0.3">
      <c r="A34" s="19">
        <v>1447</v>
      </c>
      <c r="B34" s="19" t="s">
        <v>3600</v>
      </c>
      <c r="C34" s="19">
        <v>552</v>
      </c>
      <c r="D34" s="19">
        <v>2.6113900000000001</v>
      </c>
      <c r="E34" s="19">
        <v>0</v>
      </c>
      <c r="F34" s="48" t="s">
        <v>3568</v>
      </c>
    </row>
    <row r="35" spans="1:6" x14ac:dyDescent="0.3">
      <c r="A35" s="19">
        <v>1446</v>
      </c>
      <c r="B35" s="19" t="s">
        <v>3601</v>
      </c>
      <c r="C35" s="19">
        <v>553</v>
      </c>
      <c r="D35" s="19">
        <v>2.6113900000000001</v>
      </c>
      <c r="E35" s="19">
        <v>0</v>
      </c>
      <c r="F35" s="48" t="s">
        <v>3568</v>
      </c>
    </row>
    <row r="36" spans="1:6" x14ac:dyDescent="0.3">
      <c r="A36" s="19">
        <v>1445</v>
      </c>
      <c r="B36" s="19" t="s">
        <v>3602</v>
      </c>
      <c r="C36" s="19">
        <v>554</v>
      </c>
      <c r="D36" s="19">
        <v>2.6113900000000001</v>
      </c>
      <c r="E36" s="19">
        <v>0</v>
      </c>
      <c r="F36" s="48" t="s">
        <v>3568</v>
      </c>
    </row>
    <row r="37" spans="1:6" x14ac:dyDescent="0.3">
      <c r="A37" s="19">
        <v>1444</v>
      </c>
      <c r="B37" s="19" t="s">
        <v>3603</v>
      </c>
      <c r="C37" s="19">
        <v>555</v>
      </c>
      <c r="D37" s="19">
        <v>2.6113900000000001</v>
      </c>
      <c r="E37" s="19">
        <v>0</v>
      </c>
      <c r="F37" s="48" t="s">
        <v>3568</v>
      </c>
    </row>
    <row r="38" spans="1:6" x14ac:dyDescent="0.3">
      <c r="A38" s="19">
        <v>1443</v>
      </c>
      <c r="B38" s="19" t="s">
        <v>3604</v>
      </c>
      <c r="C38" s="19">
        <v>556</v>
      </c>
      <c r="D38" s="19">
        <v>2.6113900000000001</v>
      </c>
      <c r="E38" s="19">
        <v>0</v>
      </c>
      <c r="F38" s="48" t="s">
        <v>3568</v>
      </c>
    </row>
    <row r="39" spans="1:6" x14ac:dyDescent="0.3">
      <c r="A39" s="19">
        <v>1442</v>
      </c>
      <c r="B39" s="19" t="s">
        <v>3605</v>
      </c>
      <c r="C39" s="19">
        <v>557</v>
      </c>
      <c r="D39" s="19">
        <v>2.6113900000000001</v>
      </c>
      <c r="E39" s="19">
        <v>0</v>
      </c>
      <c r="F39" s="48" t="s">
        <v>3568</v>
      </c>
    </row>
    <row r="40" spans="1:6" x14ac:dyDescent="0.3">
      <c r="A40" s="19">
        <v>1441</v>
      </c>
      <c r="B40" s="19" t="s">
        <v>3606</v>
      </c>
      <c r="C40" s="19">
        <v>558</v>
      </c>
      <c r="D40" s="19">
        <v>2.6113900000000001</v>
      </c>
      <c r="E40" s="19">
        <v>0</v>
      </c>
      <c r="F40" s="48" t="s">
        <v>3568</v>
      </c>
    </row>
    <row r="41" spans="1:6" x14ac:dyDescent="0.3">
      <c r="A41" s="19">
        <v>1440</v>
      </c>
      <c r="B41" s="19" t="s">
        <v>3607</v>
      </c>
      <c r="C41" s="19">
        <v>559</v>
      </c>
      <c r="D41" s="19">
        <v>2.6113900000000001</v>
      </c>
      <c r="E41" s="19">
        <v>0</v>
      </c>
      <c r="F41" s="48" t="s">
        <v>3568</v>
      </c>
    </row>
    <row r="42" spans="1:6" x14ac:dyDescent="0.3">
      <c r="A42" s="19">
        <v>1439</v>
      </c>
      <c r="B42" s="19" t="s">
        <v>3608</v>
      </c>
      <c r="C42" s="19">
        <v>560</v>
      </c>
      <c r="D42" s="19">
        <v>2.6113900000000001</v>
      </c>
      <c r="E42" s="19">
        <v>0</v>
      </c>
      <c r="F42" s="48" t="s">
        <v>3568</v>
      </c>
    </row>
    <row r="43" spans="1:6" x14ac:dyDescent="0.3">
      <c r="A43" s="19">
        <v>1438</v>
      </c>
      <c r="B43" s="19" t="s">
        <v>3609</v>
      </c>
      <c r="C43" s="19">
        <v>561</v>
      </c>
      <c r="D43" s="19">
        <v>2.6113900000000001</v>
      </c>
      <c r="E43" s="19">
        <v>0</v>
      </c>
      <c r="F43" s="48" t="s">
        <v>3568</v>
      </c>
    </row>
    <row r="44" spans="1:6" x14ac:dyDescent="0.3">
      <c r="A44" s="19">
        <v>1437</v>
      </c>
      <c r="B44" s="19" t="s">
        <v>3610</v>
      </c>
      <c r="C44" s="19">
        <v>562</v>
      </c>
      <c r="D44" s="19">
        <v>2.6113900000000001</v>
      </c>
      <c r="E44" s="19">
        <v>0</v>
      </c>
      <c r="F44" s="48" t="s">
        <v>3568</v>
      </c>
    </row>
    <row r="45" spans="1:6" x14ac:dyDescent="0.3">
      <c r="A45" s="19">
        <v>1436</v>
      </c>
      <c r="B45" s="19" t="s">
        <v>3611</v>
      </c>
      <c r="C45" s="19">
        <v>563</v>
      </c>
      <c r="D45" s="19">
        <v>2.6113900000000001</v>
      </c>
      <c r="E45" s="19">
        <v>0</v>
      </c>
      <c r="F45" s="48" t="s">
        <v>3568</v>
      </c>
    </row>
    <row r="46" spans="1:6" x14ac:dyDescent="0.3">
      <c r="A46" s="19">
        <v>1435</v>
      </c>
      <c r="B46" s="19" t="s">
        <v>3612</v>
      </c>
      <c r="C46" s="19">
        <v>564</v>
      </c>
      <c r="D46" s="19">
        <v>2.6113900000000001</v>
      </c>
      <c r="E46" s="19">
        <v>0</v>
      </c>
      <c r="F46" s="48" t="s">
        <v>3568</v>
      </c>
    </row>
    <row r="47" spans="1:6" x14ac:dyDescent="0.3">
      <c r="A47" s="19">
        <v>1434</v>
      </c>
      <c r="B47" s="19" t="s">
        <v>3613</v>
      </c>
      <c r="C47" s="19">
        <v>565</v>
      </c>
      <c r="D47" s="19">
        <v>2.6113900000000001</v>
      </c>
      <c r="E47" s="19">
        <v>0</v>
      </c>
      <c r="F47" s="48" t="s">
        <v>3568</v>
      </c>
    </row>
    <row r="48" spans="1:6" x14ac:dyDescent="0.3">
      <c r="A48" s="19">
        <v>1433</v>
      </c>
      <c r="B48" s="19" t="s">
        <v>3614</v>
      </c>
      <c r="C48" s="19">
        <v>566</v>
      </c>
      <c r="D48" s="19">
        <v>2.6113900000000001</v>
      </c>
      <c r="E48" s="19">
        <v>0</v>
      </c>
      <c r="F48" s="48" t="s">
        <v>3568</v>
      </c>
    </row>
    <row r="49" spans="1:6" x14ac:dyDescent="0.3">
      <c r="A49" s="19">
        <v>1432</v>
      </c>
      <c r="B49" s="19" t="s">
        <v>3615</v>
      </c>
      <c r="C49" s="19">
        <v>567</v>
      </c>
      <c r="D49" s="19">
        <v>2.6113900000000001</v>
      </c>
      <c r="E49" s="19">
        <v>0</v>
      </c>
      <c r="F49" s="48" t="s">
        <v>3568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44AD"/>
  </sheetPr>
  <dimension ref="A1:B30"/>
  <sheetViews>
    <sheetView zoomScaleNormal="100" workbookViewId="0"/>
  </sheetViews>
  <sheetFormatPr defaultColWidth="8.6640625" defaultRowHeight="14.4" x14ac:dyDescent="0.3"/>
  <cols>
    <col min="1" max="1" width="40" customWidth="1"/>
    <col min="2" max="2" width="20" customWidth="1"/>
  </cols>
  <sheetData>
    <row r="1" spans="1:2" ht="17.399999999999999" x14ac:dyDescent="0.3">
      <c r="A1" s="64" t="s">
        <v>3616</v>
      </c>
      <c r="B1" s="64"/>
    </row>
    <row r="3" spans="1:2" x14ac:dyDescent="0.3">
      <c r="A3" s="50" t="s">
        <v>3617</v>
      </c>
      <c r="B3" s="51"/>
    </row>
    <row r="4" spans="1:2" x14ac:dyDescent="0.3">
      <c r="A4" s="52" t="s">
        <v>69</v>
      </c>
      <c r="B4" s="53">
        <v>0.4</v>
      </c>
    </row>
    <row r="5" spans="1:2" x14ac:dyDescent="0.3">
      <c r="A5" s="52" t="s">
        <v>72</v>
      </c>
      <c r="B5" s="53">
        <v>0.2</v>
      </c>
    </row>
    <row r="6" spans="1:2" x14ac:dyDescent="0.3">
      <c r="A6" s="52" t="s">
        <v>73</v>
      </c>
      <c r="B6" s="53">
        <v>0.03</v>
      </c>
    </row>
    <row r="7" spans="1:2" x14ac:dyDescent="0.3">
      <c r="A7" s="52" t="s">
        <v>3618</v>
      </c>
      <c r="B7" s="53">
        <v>0.2</v>
      </c>
    </row>
    <row r="8" spans="1:2" x14ac:dyDescent="0.3">
      <c r="A8" s="52" t="s">
        <v>3619</v>
      </c>
      <c r="B8" s="53">
        <v>0.1</v>
      </c>
    </row>
    <row r="9" spans="1:2" x14ac:dyDescent="0.3">
      <c r="A9" s="52" t="s">
        <v>3620</v>
      </c>
      <c r="B9" s="54">
        <v>0</v>
      </c>
    </row>
    <row r="10" spans="1:2" x14ac:dyDescent="0.3">
      <c r="A10" s="52" t="s">
        <v>3621</v>
      </c>
      <c r="B10" s="53">
        <v>0.05</v>
      </c>
    </row>
    <row r="11" spans="1:2" x14ac:dyDescent="0.3">
      <c r="A11" s="52" t="s">
        <v>3622</v>
      </c>
      <c r="B11" s="54">
        <v>5.5</v>
      </c>
    </row>
    <row r="12" spans="1:2" x14ac:dyDescent="0.3">
      <c r="A12" s="55"/>
      <c r="B12" s="55"/>
    </row>
    <row r="13" spans="1:2" x14ac:dyDescent="0.3">
      <c r="A13" s="50" t="s">
        <v>3623</v>
      </c>
      <c r="B13" s="51"/>
    </row>
    <row r="14" spans="1:2" x14ac:dyDescent="0.3">
      <c r="A14" s="52" t="s">
        <v>3624</v>
      </c>
      <c r="B14" s="54">
        <v>1500</v>
      </c>
    </row>
    <row r="15" spans="1:2" x14ac:dyDescent="0.3">
      <c r="A15" s="55"/>
      <c r="B15" s="55"/>
    </row>
    <row r="16" spans="1:2" x14ac:dyDescent="0.3">
      <c r="A16" s="50" t="s">
        <v>3625</v>
      </c>
      <c r="B16" s="51"/>
    </row>
    <row r="17" spans="1:2" x14ac:dyDescent="0.3">
      <c r="A17" s="52" t="s">
        <v>3626</v>
      </c>
      <c r="B17" s="54">
        <v>100</v>
      </c>
    </row>
    <row r="18" spans="1:2" x14ac:dyDescent="0.3">
      <c r="A18" s="52" t="s">
        <v>3627</v>
      </c>
      <c r="B18" s="54">
        <v>2</v>
      </c>
    </row>
    <row r="19" spans="1:2" x14ac:dyDescent="0.3">
      <c r="A19" s="55"/>
      <c r="B19" s="55"/>
    </row>
    <row r="20" spans="1:2" x14ac:dyDescent="0.3">
      <c r="A20" s="50" t="s">
        <v>3628</v>
      </c>
      <c r="B20" s="51"/>
    </row>
    <row r="21" spans="1:2" x14ac:dyDescent="0.3">
      <c r="A21" s="52" t="s">
        <v>3629</v>
      </c>
      <c r="B21" s="53">
        <v>0.2</v>
      </c>
    </row>
    <row r="22" spans="1:2" x14ac:dyDescent="0.3">
      <c r="A22" s="55"/>
      <c r="B22" s="55"/>
    </row>
    <row r="23" spans="1:2" x14ac:dyDescent="0.3">
      <c r="A23" s="50" t="s">
        <v>3630</v>
      </c>
      <c r="B23" s="51"/>
    </row>
    <row r="24" spans="1:2" x14ac:dyDescent="0.3">
      <c r="A24" s="52" t="s">
        <v>3631</v>
      </c>
      <c r="B24" s="53">
        <v>0.55000000000000004</v>
      </c>
    </row>
    <row r="25" spans="1:2" x14ac:dyDescent="0.3">
      <c r="A25" s="55"/>
      <c r="B25" s="55"/>
    </row>
    <row r="26" spans="1:2" x14ac:dyDescent="0.3">
      <c r="A26" s="50" t="s">
        <v>3632</v>
      </c>
      <c r="B26" s="51"/>
    </row>
    <row r="27" spans="1:2" x14ac:dyDescent="0.3">
      <c r="A27" s="52" t="s">
        <v>3633</v>
      </c>
      <c r="B27" s="54">
        <v>8</v>
      </c>
    </row>
    <row r="28" spans="1:2" x14ac:dyDescent="0.3">
      <c r="A28" s="55"/>
      <c r="B28" s="55"/>
    </row>
    <row r="29" spans="1:2" x14ac:dyDescent="0.3">
      <c r="A29" s="50" t="s">
        <v>3634</v>
      </c>
      <c r="B29" s="51"/>
    </row>
    <row r="30" spans="1:2" x14ac:dyDescent="0.3">
      <c r="A30" s="52" t="s">
        <v>3635</v>
      </c>
      <c r="B30" s="53">
        <v>0.15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ABC9C"/>
  </sheetPr>
  <dimension ref="A1:A30"/>
  <sheetViews>
    <sheetView zoomScaleNormal="100" workbookViewId="0"/>
  </sheetViews>
  <sheetFormatPr defaultColWidth="8.6640625" defaultRowHeight="14.4" x14ac:dyDescent="0.3"/>
  <cols>
    <col min="1" max="1" width="85" customWidth="1"/>
  </cols>
  <sheetData>
    <row r="1" spans="1:1" ht="17.399999999999999" x14ac:dyDescent="0.3">
      <c r="A1" s="49" t="s">
        <v>3636</v>
      </c>
    </row>
    <row r="2" spans="1:1" x14ac:dyDescent="0.3">
      <c r="A2" s="56"/>
    </row>
    <row r="3" spans="1:1" x14ac:dyDescent="0.3">
      <c r="A3" s="57" t="s">
        <v>3637</v>
      </c>
    </row>
    <row r="4" spans="1:1" x14ac:dyDescent="0.3">
      <c r="A4" s="56" t="s">
        <v>3638</v>
      </c>
    </row>
    <row r="5" spans="1:1" x14ac:dyDescent="0.3">
      <c r="A5" s="56" t="s">
        <v>3639</v>
      </c>
    </row>
    <row r="6" spans="1:1" x14ac:dyDescent="0.3">
      <c r="A6" s="56" t="s">
        <v>3640</v>
      </c>
    </row>
    <row r="7" spans="1:1" x14ac:dyDescent="0.3">
      <c r="A7" s="56" t="s">
        <v>3641</v>
      </c>
    </row>
    <row r="8" spans="1:1" x14ac:dyDescent="0.3">
      <c r="A8" s="56"/>
    </row>
    <row r="9" spans="1:1" x14ac:dyDescent="0.3">
      <c r="A9" s="57" t="s">
        <v>3642</v>
      </c>
    </row>
    <row r="10" spans="1:1" x14ac:dyDescent="0.3">
      <c r="A10" s="56" t="s">
        <v>3643</v>
      </c>
    </row>
    <row r="11" spans="1:1" x14ac:dyDescent="0.3">
      <c r="A11" s="56" t="s">
        <v>3644</v>
      </c>
    </row>
    <row r="12" spans="1:1" x14ac:dyDescent="0.3">
      <c r="A12" s="56" t="s">
        <v>3645</v>
      </c>
    </row>
    <row r="13" spans="1:1" x14ac:dyDescent="0.3">
      <c r="A13" s="56" t="s">
        <v>3646</v>
      </c>
    </row>
    <row r="14" spans="1:1" x14ac:dyDescent="0.3">
      <c r="A14" s="56"/>
    </row>
    <row r="15" spans="1:1" x14ac:dyDescent="0.3">
      <c r="A15" s="57" t="s">
        <v>3647</v>
      </c>
    </row>
    <row r="16" spans="1:1" x14ac:dyDescent="0.3">
      <c r="A16" s="56" t="s">
        <v>3648</v>
      </c>
    </row>
    <row r="17" spans="1:1" x14ac:dyDescent="0.3">
      <c r="A17" s="56" t="s">
        <v>3649</v>
      </c>
    </row>
    <row r="18" spans="1:1" x14ac:dyDescent="0.3">
      <c r="A18" s="56" t="s">
        <v>3650</v>
      </c>
    </row>
    <row r="19" spans="1:1" x14ac:dyDescent="0.3">
      <c r="A19" s="56" t="s">
        <v>3651</v>
      </c>
    </row>
    <row r="20" spans="1:1" x14ac:dyDescent="0.3">
      <c r="A20" s="56" t="s">
        <v>3652</v>
      </c>
    </row>
    <row r="21" spans="1:1" x14ac:dyDescent="0.3">
      <c r="A21" s="56"/>
    </row>
    <row r="22" spans="1:1" x14ac:dyDescent="0.3">
      <c r="A22" s="57" t="s">
        <v>3653</v>
      </c>
    </row>
    <row r="23" spans="1:1" x14ac:dyDescent="0.3">
      <c r="A23" s="56" t="s">
        <v>3654</v>
      </c>
    </row>
    <row r="24" spans="1:1" x14ac:dyDescent="0.3">
      <c r="A24" s="56" t="s">
        <v>3655</v>
      </c>
    </row>
    <row r="25" spans="1:1" x14ac:dyDescent="0.3">
      <c r="A25" s="56" t="s">
        <v>3656</v>
      </c>
    </row>
    <row r="26" spans="1:1" x14ac:dyDescent="0.3">
      <c r="A26" s="56"/>
    </row>
    <row r="27" spans="1:1" x14ac:dyDescent="0.3">
      <c r="A27" s="57" t="s">
        <v>3657</v>
      </c>
    </row>
    <row r="28" spans="1:1" x14ac:dyDescent="0.3">
      <c r="A28" s="56" t="s">
        <v>3658</v>
      </c>
    </row>
    <row r="29" spans="1:1" x14ac:dyDescent="0.3">
      <c r="A29" s="56" t="s">
        <v>3659</v>
      </c>
    </row>
    <row r="30" spans="1:1" x14ac:dyDescent="0.3">
      <c r="A30" s="56" t="s">
        <v>3660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</vt:i4>
      </vt:variant>
    </vt:vector>
  </HeadingPairs>
  <TitlesOfParts>
    <vt:vector size="11" baseType="lpstr">
      <vt:lpstr>Dashboard</vt:lpstr>
      <vt:lpstr>Motor v3</vt:lpstr>
      <vt:lpstr>Cenários</vt:lpstr>
      <vt:lpstr>Exportação</vt:lpstr>
      <vt:lpstr>Proposta</vt:lpstr>
      <vt:lpstr>Catálogo Laszlo</vt:lpstr>
      <vt:lpstr>Base cadastro MP</vt:lpstr>
      <vt:lpstr>Check_Retirada</vt:lpstr>
      <vt:lpstr>Parâmetros v3</vt:lpstr>
      <vt:lpstr>Regras v3</vt:lpstr>
      <vt:lpstr>Proposta!Area_de_impressao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Camilla Fidelis</cp:lastModifiedBy>
  <cp:revision>0</cp:revision>
  <dcterms:created xsi:type="dcterms:W3CDTF">2026-04-29T19:20:58Z</dcterms:created>
  <dcterms:modified xsi:type="dcterms:W3CDTF">2026-04-29T19:54:53Z</dcterms:modified>
  <dc:language>en-US</dc:language>
</cp:coreProperties>
</file>